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e\Downloads\"/>
    </mc:Choice>
  </mc:AlternateContent>
  <xr:revisionPtr revIDLastSave="0" documentId="13_ncr:1_{30FC8706-5614-4422-9F31-9C593413EC8C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Course Detail-Term-V" sheetId="33" r:id="rId1"/>
    <sheet name="Class Schedule-Term-V" sheetId="36" r:id="rId2"/>
  </sheets>
  <externalReferences>
    <externalReference r:id="rId3"/>
  </externalReferences>
  <definedNames>
    <definedName name="_xlnm._FilterDatabase" localSheetId="1" hidden="1">'Class Schedule-Term-V'!$A$89:$P$131</definedName>
    <definedName name="_xlnm._FilterDatabase" localSheetId="0" hidden="1">'Course Detail-Term-V'!$A$1:$HI$22</definedName>
    <definedName name="AA">[1]Range!$C$3:$D$16</definedName>
    <definedName name="FG" localSheetId="1">#REF!</definedName>
    <definedName name="FG" localSheetId="0">#REF!</definedName>
    <definedName name="FG">#REF!</definedName>
    <definedName name="GP" localSheetId="1">#REF!</definedName>
    <definedName name="GP" localSheetId="0">#REF!</definedName>
    <definedName name="GP">#REF!</definedName>
    <definedName name="_xlnm.Print_Area" localSheetId="1">'Class Schedule-Term-V'!$A$1:$N$133</definedName>
    <definedName name="_xlnm.Print_Area" localSheetId="0">'Course Detail-Term-V'!$A$1:$L$22</definedName>
    <definedName name="_xlnm.Print_Titles" localSheetId="1">'Class Schedule-Term-V'!$1:$2</definedName>
    <definedName name="range" localSheetId="1">#REF!</definedName>
    <definedName name="range" localSheetId="0">#REF!</definedName>
    <definedName name="range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36" l="1"/>
  <c r="R24" i="36"/>
  <c r="B24" i="36"/>
  <c r="R23" i="36"/>
  <c r="B23" i="36"/>
  <c r="R22" i="36"/>
  <c r="B22" i="36"/>
  <c r="R21" i="36"/>
  <c r="B21" i="36"/>
  <c r="R20" i="36"/>
  <c r="B20" i="36"/>
  <c r="R19" i="36"/>
  <c r="B19" i="36"/>
  <c r="R18" i="36"/>
  <c r="B18" i="36"/>
  <c r="R17" i="36"/>
  <c r="B17" i="36"/>
  <c r="R16" i="36"/>
  <c r="B16" i="36"/>
  <c r="R15" i="36"/>
  <c r="B15" i="36"/>
  <c r="R14" i="36" l="1"/>
  <c r="B14" i="36"/>
  <c r="R13" i="36"/>
  <c r="B13" i="36"/>
  <c r="R12" i="36"/>
  <c r="B12" i="36"/>
  <c r="R11" i="36"/>
  <c r="B11" i="36"/>
  <c r="R10" i="36"/>
  <c r="B10" i="36"/>
  <c r="R9" i="36"/>
  <c r="B9" i="36"/>
  <c r="R8" i="36"/>
  <c r="B8" i="36"/>
  <c r="R7" i="36"/>
  <c r="B7" i="36"/>
  <c r="R6" i="36"/>
  <c r="B6" i="36"/>
  <c r="R5" i="36"/>
  <c r="B5" i="36"/>
  <c r="R4" i="36"/>
  <c r="B4" i="36"/>
  <c r="H95" i="36" l="1"/>
  <c r="H94" i="36"/>
  <c r="H93" i="36"/>
  <c r="H92" i="36"/>
  <c r="G111" i="36"/>
  <c r="G94" i="36"/>
  <c r="G92" i="36"/>
  <c r="H133" i="36"/>
  <c r="G134" i="36"/>
  <c r="G121" i="36"/>
  <c r="E121" i="36"/>
  <c r="F110" i="36"/>
  <c r="G109" i="36"/>
  <c r="E126" i="36"/>
  <c r="F109" i="36"/>
  <c r="F118" i="36"/>
  <c r="K23" i="33"/>
  <c r="E109" i="36"/>
  <c r="F125" i="36"/>
  <c r="F102" i="36"/>
  <c r="E105" i="36"/>
  <c r="F104" i="36"/>
  <c r="F92" i="36"/>
  <c r="F134" i="36"/>
  <c r="E134" i="36"/>
  <c r="D134" i="36"/>
  <c r="H121" i="36"/>
  <c r="H120" i="36"/>
  <c r="F133" i="36"/>
  <c r="E133" i="36"/>
  <c r="D133" i="36"/>
  <c r="G132" i="36"/>
  <c r="F132" i="36"/>
  <c r="E132" i="36"/>
  <c r="D132" i="36"/>
  <c r="G131" i="36"/>
  <c r="F131" i="36"/>
  <c r="E131" i="36"/>
  <c r="D131" i="36"/>
  <c r="F130" i="36"/>
  <c r="E130" i="36"/>
  <c r="D130" i="36"/>
  <c r="N130" i="36" s="1"/>
  <c r="E128" i="36"/>
  <c r="D128" i="36"/>
  <c r="N128" i="36" s="1"/>
  <c r="E127" i="36"/>
  <c r="D127" i="36"/>
  <c r="E125" i="36"/>
  <c r="D125" i="36"/>
  <c r="E124" i="36"/>
  <c r="D124" i="36"/>
  <c r="D126" i="36"/>
  <c r="D129" i="36"/>
  <c r="D123" i="36"/>
  <c r="D122" i="36"/>
  <c r="F121" i="36"/>
  <c r="D121" i="36"/>
  <c r="G120" i="36"/>
  <c r="F120" i="36"/>
  <c r="E120" i="36"/>
  <c r="D120" i="36"/>
  <c r="E119" i="36"/>
  <c r="D119" i="36"/>
  <c r="E118" i="36"/>
  <c r="D118" i="36"/>
  <c r="G117" i="36"/>
  <c r="F117" i="36"/>
  <c r="E117" i="36"/>
  <c r="D117" i="36"/>
  <c r="E116" i="36"/>
  <c r="D116" i="36"/>
  <c r="E115" i="36"/>
  <c r="D115" i="36"/>
  <c r="F114" i="36"/>
  <c r="E114" i="36"/>
  <c r="D114" i="36"/>
  <c r="F113" i="36"/>
  <c r="E113" i="36"/>
  <c r="D113" i="36"/>
  <c r="D112" i="36"/>
  <c r="F111" i="36"/>
  <c r="E111" i="36"/>
  <c r="D111" i="36"/>
  <c r="E110" i="36"/>
  <c r="D110" i="36"/>
  <c r="D109" i="36"/>
  <c r="F108" i="36"/>
  <c r="F106" i="36"/>
  <c r="E108" i="36"/>
  <c r="D108" i="36"/>
  <c r="N108" i="36" s="1"/>
  <c r="E106" i="36"/>
  <c r="D107" i="36"/>
  <c r="N107" i="36" s="1"/>
  <c r="D106" i="36"/>
  <c r="D105" i="36"/>
  <c r="N105" i="36" s="1"/>
  <c r="E104" i="36"/>
  <c r="D104" i="36"/>
  <c r="E103" i="36"/>
  <c r="D103" i="36"/>
  <c r="E102" i="36"/>
  <c r="D102" i="36"/>
  <c r="G100" i="36"/>
  <c r="F100" i="36"/>
  <c r="E100" i="36"/>
  <c r="D100" i="36"/>
  <c r="F99" i="36"/>
  <c r="E99" i="36"/>
  <c r="D99" i="36"/>
  <c r="E101" i="36"/>
  <c r="D101" i="36"/>
  <c r="D98" i="36"/>
  <c r="F97" i="36"/>
  <c r="E97" i="36"/>
  <c r="D97" i="36"/>
  <c r="E96" i="36"/>
  <c r="D96" i="36"/>
  <c r="E95" i="36"/>
  <c r="D95" i="36"/>
  <c r="E94" i="36"/>
  <c r="D94" i="36"/>
  <c r="E93" i="36"/>
  <c r="D93" i="36"/>
  <c r="E92" i="36"/>
  <c r="D92" i="36"/>
  <c r="G93" i="36"/>
  <c r="F94" i="36"/>
  <c r="F95" i="36"/>
  <c r="F96" i="36"/>
  <c r="G96" i="36"/>
  <c r="E98" i="36"/>
  <c r="F103" i="36"/>
  <c r="G106" i="36"/>
  <c r="H106" i="36"/>
  <c r="E107" i="36"/>
  <c r="H109" i="36"/>
  <c r="G110" i="36"/>
  <c r="E112" i="36"/>
  <c r="F112" i="36"/>
  <c r="H118" i="36"/>
  <c r="E122" i="36"/>
  <c r="F122" i="36"/>
  <c r="G122" i="36"/>
  <c r="E123" i="36"/>
  <c r="F123" i="36"/>
  <c r="G123" i="36"/>
  <c r="F126" i="36"/>
  <c r="H126" i="36"/>
  <c r="F127" i="36"/>
  <c r="F128" i="36"/>
  <c r="H128" i="36"/>
  <c r="E129" i="36"/>
  <c r="G133" i="36"/>
  <c r="R88" i="36"/>
  <c r="R87" i="36"/>
  <c r="R86" i="36"/>
  <c r="R85" i="36"/>
  <c r="R84" i="36"/>
  <c r="R83" i="36"/>
  <c r="R82" i="36"/>
  <c r="R81" i="36"/>
  <c r="R80" i="36"/>
  <c r="R79" i="36"/>
  <c r="R78" i="36"/>
  <c r="R77" i="36"/>
  <c r="R76" i="36"/>
  <c r="R75" i="36"/>
  <c r="R74" i="36"/>
  <c r="R73" i="36"/>
  <c r="R72" i="36"/>
  <c r="R71" i="36"/>
  <c r="R70" i="36"/>
  <c r="R69" i="36"/>
  <c r="R68" i="36"/>
  <c r="R67" i="36"/>
  <c r="R66" i="36"/>
  <c r="R65" i="36"/>
  <c r="R64" i="36"/>
  <c r="R63" i="36"/>
  <c r="R62" i="36"/>
  <c r="R61" i="36"/>
  <c r="R60" i="36"/>
  <c r="R59" i="36"/>
  <c r="R58" i="36"/>
  <c r="R57" i="36"/>
  <c r="R56" i="36"/>
  <c r="R55" i="36"/>
  <c r="R54" i="36"/>
  <c r="R53" i="36"/>
  <c r="R52" i="36"/>
  <c r="R51" i="36"/>
  <c r="R50" i="36"/>
  <c r="R49" i="36"/>
  <c r="R48" i="36"/>
  <c r="R47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B88" i="36"/>
  <c r="B86" i="36"/>
  <c r="B87" i="36"/>
  <c r="B81" i="36"/>
  <c r="B82" i="36"/>
  <c r="B83" i="36"/>
  <c r="B84" i="36"/>
  <c r="B85" i="36"/>
  <c r="B80" i="36"/>
  <c r="B79" i="36"/>
  <c r="B78" i="36"/>
  <c r="B77" i="36"/>
  <c r="B76" i="36"/>
  <c r="B75" i="36"/>
  <c r="B7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28" i="33"/>
  <c r="B27" i="33"/>
  <c r="B26" i="33"/>
  <c r="B25" i="33"/>
  <c r="B24" i="33"/>
  <c r="F22" i="33"/>
  <c r="N113" i="36" l="1"/>
  <c r="N119" i="36"/>
  <c r="N127" i="36"/>
  <c r="N115" i="36"/>
  <c r="N112" i="36"/>
  <c r="N133" i="36"/>
  <c r="N134" i="36"/>
  <c r="N114" i="36"/>
  <c r="N116" i="36"/>
  <c r="N100" i="36"/>
  <c r="N102" i="36"/>
  <c r="N92" i="36"/>
  <c r="N101" i="36"/>
  <c r="N99" i="36"/>
  <c r="N106" i="36"/>
  <c r="N98" i="36"/>
  <c r="N120" i="36"/>
  <c r="N121" i="36"/>
  <c r="N131" i="36"/>
  <c r="N124" i="36"/>
  <c r="N132" i="36"/>
  <c r="N103" i="36"/>
  <c r="N129" i="36"/>
  <c r="N122" i="36"/>
  <c r="N94" i="36"/>
  <c r="N126" i="36"/>
  <c r="N93" i="36"/>
  <c r="N104" i="36"/>
  <c r="N109" i="36"/>
  <c r="N96" i="36"/>
  <c r="N97" i="36"/>
  <c r="N111" i="36"/>
  <c r="N117" i="36"/>
  <c r="N110" i="36"/>
  <c r="N123" i="36"/>
  <c r="N95" i="36"/>
  <c r="N118" i="36"/>
  <c r="N125" i="36"/>
</calcChain>
</file>

<file path=xl/sharedStrings.xml><?xml version="1.0" encoding="utf-8"?>
<sst xmlns="http://schemas.openxmlformats.org/spreadsheetml/2006/main" count="1212" uniqueCount="280">
  <si>
    <t>Session-I</t>
  </si>
  <si>
    <t>Session-II</t>
  </si>
  <si>
    <t>Session-III</t>
  </si>
  <si>
    <t>Session-IV</t>
  </si>
  <si>
    <t>Session-V</t>
  </si>
  <si>
    <t>Date</t>
  </si>
  <si>
    <t>Day</t>
  </si>
  <si>
    <t>Session-VI</t>
  </si>
  <si>
    <t>Session-VII</t>
  </si>
  <si>
    <t>Session-VIII</t>
  </si>
  <si>
    <t>SCM(A)</t>
  </si>
  <si>
    <t>SCM(B)</t>
  </si>
  <si>
    <t>End Term Examination</t>
  </si>
  <si>
    <t>INB</t>
  </si>
  <si>
    <t>SMKT</t>
  </si>
  <si>
    <t>PDBE</t>
  </si>
  <si>
    <t>B2B(A)</t>
  </si>
  <si>
    <t>B2B(B)</t>
  </si>
  <si>
    <t>Sl. No.</t>
  </si>
  <si>
    <t>Course
Code</t>
  </si>
  <si>
    <t>Abbre.</t>
  </si>
  <si>
    <t>Name of the Course</t>
  </si>
  <si>
    <t>Area</t>
  </si>
  <si>
    <t>Credit
Hours</t>
  </si>
  <si>
    <t>Name of the Faculty</t>
  </si>
  <si>
    <t>Class
Room</t>
  </si>
  <si>
    <t>Division</t>
  </si>
  <si>
    <t>Student
Strength</t>
  </si>
  <si>
    <t>Eco. &amp; Fin.</t>
  </si>
  <si>
    <t>VALU</t>
  </si>
  <si>
    <t>Valuation</t>
  </si>
  <si>
    <t>B2B</t>
  </si>
  <si>
    <t>Business-to-Business Marketing</t>
  </si>
  <si>
    <t>Marketing</t>
  </si>
  <si>
    <t>Services Marketing</t>
  </si>
  <si>
    <t>OB &amp; Comm.</t>
  </si>
  <si>
    <t>Total Credit</t>
  </si>
  <si>
    <t>DM</t>
  </si>
  <si>
    <t>DM(A)</t>
  </si>
  <si>
    <t>DM(B)</t>
  </si>
  <si>
    <t>Christmas - (Holiday)</t>
  </si>
  <si>
    <t>DRM</t>
  </si>
  <si>
    <t>DC</t>
  </si>
  <si>
    <t>Digital Consulting</t>
  </si>
  <si>
    <t>Session-IX</t>
  </si>
  <si>
    <t>AN</t>
  </si>
  <si>
    <t>Art of Negotiation</t>
  </si>
  <si>
    <t>ML&amp;AI</t>
  </si>
  <si>
    <t>05.00PM to 
06.00PM</t>
  </si>
  <si>
    <t>Session-X</t>
  </si>
  <si>
    <t>Session-XI</t>
  </si>
  <si>
    <t>VALU(A)</t>
  </si>
  <si>
    <t>VALU(B)</t>
  </si>
  <si>
    <t>PDBE(B)</t>
  </si>
  <si>
    <t>PDBE(A)</t>
  </si>
  <si>
    <t xml:space="preserve">Digital Marketing </t>
  </si>
  <si>
    <t>Personality Development and Business Etiquette</t>
  </si>
  <si>
    <t>LSS</t>
  </si>
  <si>
    <t>SCM</t>
  </si>
  <si>
    <t>DnA</t>
  </si>
  <si>
    <t>OM</t>
  </si>
  <si>
    <t>08.30PM to 
09.30PM</t>
  </si>
  <si>
    <t>DRM(A)</t>
  </si>
  <si>
    <t>DRM(B)</t>
  </si>
  <si>
    <t>INB(A)</t>
  </si>
  <si>
    <t>INB(B)</t>
  </si>
  <si>
    <t>Prof. Nina Muncherji 
(Div A &amp; B)</t>
  </si>
  <si>
    <t>Session-IV-A</t>
  </si>
  <si>
    <t>Prof. Nitin Pillai</t>
  </si>
  <si>
    <t>7MP129SE22</t>
  </si>
  <si>
    <t>2
2</t>
  </si>
  <si>
    <t>7MP103SE22</t>
  </si>
  <si>
    <t>7MP118SE22</t>
  </si>
  <si>
    <t>7MP302SE22</t>
  </si>
  <si>
    <t>1
1</t>
  </si>
  <si>
    <t>7MP323SE22</t>
  </si>
  <si>
    <t>7MP308SE22</t>
  </si>
  <si>
    <t>7MP507NE22</t>
  </si>
  <si>
    <t>7MP501NE22</t>
  </si>
  <si>
    <t>7MP720SE22</t>
  </si>
  <si>
    <t>TEOM</t>
  </si>
  <si>
    <t>7MP707SE24</t>
  </si>
  <si>
    <t>Data Visualisation &amp; Visual Storytelling</t>
  </si>
  <si>
    <t>7MP708SE22</t>
  </si>
  <si>
    <t>2
1</t>
  </si>
  <si>
    <t>7MP714SE22</t>
  </si>
  <si>
    <t>7MP201SE22</t>
  </si>
  <si>
    <t>DADM</t>
  </si>
  <si>
    <t>Technology Enabled Operations Management* IMBA</t>
  </si>
  <si>
    <t>Data Analytics &amp; Data Mining* IMBA</t>
  </si>
  <si>
    <t>Prof. Mahesh K C</t>
  </si>
  <si>
    <t>7MP206SE22</t>
  </si>
  <si>
    <t>Lean Six Sigma* IMBA</t>
  </si>
  <si>
    <t>7MP213SE22</t>
  </si>
  <si>
    <t>Supply Chain Management * IMBA</t>
  </si>
  <si>
    <t>7MP208SE22</t>
  </si>
  <si>
    <t>OMSD</t>
  </si>
  <si>
    <t>7MP603NE22</t>
  </si>
  <si>
    <t>CSE</t>
  </si>
  <si>
    <t>Case Study of Entrepreneurs</t>
  </si>
  <si>
    <t>Eco. &amp; SME</t>
  </si>
  <si>
    <t>Prof. Shahir Bhatt</t>
  </si>
  <si>
    <t>DV&amp;VS(A)</t>
  </si>
  <si>
    <t>DV&amp;VS(B)</t>
  </si>
  <si>
    <t>OM&amp;SD</t>
  </si>
  <si>
    <t>Prof. Rajesh Jain (Div. A &amp; B)</t>
  </si>
  <si>
    <t>VALU(C)</t>
  </si>
  <si>
    <t>SMKT(A)</t>
  </si>
  <si>
    <t>SMKT(B)</t>
  </si>
  <si>
    <t>VALU(D)</t>
  </si>
  <si>
    <t>TEOM(A)</t>
  </si>
  <si>
    <t>TEOM(B)</t>
  </si>
  <si>
    <t>DV&amp;VS</t>
  </si>
  <si>
    <t>ML&amp;AI (A)</t>
  </si>
  <si>
    <t>ML&amp;AI (B)</t>
  </si>
  <si>
    <t>LSS (A)</t>
  </si>
  <si>
    <t>T6</t>
  </si>
  <si>
    <t>LSS (B)</t>
  </si>
  <si>
    <t>Faculty Email id</t>
  </si>
  <si>
    <t>mcgupta@nirmauni.ac.in,
mcguptacs@gmail.com</t>
  </si>
  <si>
    <t>Course coordinator</t>
  </si>
  <si>
    <t>Prof. Dipti Saraf</t>
  </si>
  <si>
    <t>Prof. Bhavesh Patel</t>
  </si>
  <si>
    <t>Prof. Sanjay Jain</t>
  </si>
  <si>
    <t>Prof. Nina Muncherji</t>
  </si>
  <si>
    <t>Prof. Somayya Madakam</t>
  </si>
  <si>
    <t>Prof. Sandip Trada</t>
  </si>
  <si>
    <t>Prof. Himanshu Chauhan</t>
  </si>
  <si>
    <t>nmuncherji@nirmauni.ac.in</t>
  </si>
  <si>
    <t>nitin.pillai@nirmauni.ac.in</t>
  </si>
  <si>
    <t>Prof. Omakar Sahoo</t>
  </si>
  <si>
    <t>Prof. Rajesh Jain</t>
  </si>
  <si>
    <t>Prof. Praneti Shah</t>
  </si>
  <si>
    <t>Prof. Dinesh Panchal</t>
  </si>
  <si>
    <t>maheshkc@nirmauni.ac.in</t>
  </si>
  <si>
    <t>rajeshjain@nirmauni.ac.in</t>
  </si>
  <si>
    <t>praneti@nirmauni.ac.in</t>
  </si>
  <si>
    <t>dinesh.panchal@nirmauni.ac.in,
abraju@nirmauni.ac.in,
abrteach@gmail.com</t>
  </si>
  <si>
    <t>shahir@nirmauni.ac.in</t>
  </si>
  <si>
    <t>CCA&amp;U</t>
  </si>
  <si>
    <t>Prof. Lalit Arora (Div. A &amp;B)</t>
  </si>
  <si>
    <t>dipti.saraf@nirmauni.ac.in</t>
  </si>
  <si>
    <t>Prof. M C Gupta (VF) (Div. A  B  &amp; C)</t>
  </si>
  <si>
    <t>Investment Banking* IMBA</t>
  </si>
  <si>
    <t>7MP313SE22</t>
  </si>
  <si>
    <t>IMC</t>
  </si>
  <si>
    <t>Integrated Marketing Communication</t>
  </si>
  <si>
    <t>1
2</t>
  </si>
  <si>
    <t>Prof. Shailesh Prabhu (Div A &amp;B)</t>
  </si>
  <si>
    <t>2
1
1</t>
  </si>
  <si>
    <t>Prof. Omakar Sahoo (Div. A&amp;B)</t>
  </si>
  <si>
    <t>Machine Learning &amp; Artificial Intelligence* IMBA</t>
  </si>
  <si>
    <t>Prof. Praneti Shah (Div. A ,B &amp; C)</t>
  </si>
  <si>
    <t>Business Simulation</t>
  </si>
  <si>
    <t>7MP602NE22</t>
  </si>
  <si>
    <t>BS</t>
  </si>
  <si>
    <t>Prof. Satish Nair</t>
  </si>
  <si>
    <t>7MP131SE25</t>
  </si>
  <si>
    <t>Prof. Himanshu Chauhan (Div. A)
Prof. Kavita Saxena (VF) (Div. B)</t>
  </si>
  <si>
    <t>Prof. Nitin Pillai (Div. A &amp; B)</t>
  </si>
  <si>
    <t>Operations Management in Services and Distribution</t>
  </si>
  <si>
    <t>Prof. Bhavesh Patel (Div. A &amp; B)
Prof. Pankaj Agrawal (Div. C)</t>
  </si>
  <si>
    <t>Prof. Sandip Trada (Div A) 
Prof. Rupam Deb (Div B &amp; Div C)</t>
  </si>
  <si>
    <t>Prof. Somayya Madakam (Div. A &amp; B)
Prof. Anand Kumar (Div. C &amp; Div. D)</t>
  </si>
  <si>
    <t>Prof. Sapan Oza (VF) (Div. A)</t>
  </si>
  <si>
    <t>Prof. Dinesh Panchal &amp; Prof.  A. B. Raju (VF)</t>
  </si>
  <si>
    <t>143+
105</t>
  </si>
  <si>
    <t>137+
70</t>
  </si>
  <si>
    <t>140+</t>
  </si>
  <si>
    <t>Prof. Sanjay Jain (Div. A)
Prof. Riddhi Ambavale(VF) (Div. B)</t>
  </si>
  <si>
    <t>DRM(A)/DRM('C)</t>
  </si>
  <si>
    <t>INB(A)/SCM(B)/PDBE(B)</t>
  </si>
  <si>
    <t>INB(B)/SCM('C)/PDBE(A)</t>
  </si>
  <si>
    <t>INB('C)/SCM(A)/DRM(B)</t>
  </si>
  <si>
    <t>B2B(A)/B2B('C)/AN(A)/TEOM(B)</t>
  </si>
  <si>
    <t>B2B(B)/AN(B)</t>
  </si>
  <si>
    <t>TEOM(A)/CSE/DV&amp;VS(B)/DV&amp;VS('C)</t>
  </si>
  <si>
    <t>DV&amp;VS(B)/DV&amp;VS('C)/DM(B)</t>
  </si>
  <si>
    <t>DADM/SMKT(B)/SMKT(A)</t>
  </si>
  <si>
    <t>CC&amp;AU(B)/ML&amp;AI(A)/LSS(B)</t>
  </si>
  <si>
    <t>LSS(A)/BS</t>
  </si>
  <si>
    <t>VALU(B)/VALU(D)</t>
  </si>
  <si>
    <t>DV&amp;VS(A)/DV&amp;VS(D)</t>
  </si>
  <si>
    <t>IMC(B)</t>
  </si>
  <si>
    <t xml:space="preserve">Derivative and Risk Management </t>
  </si>
  <si>
    <t>Commercial Credit Analysis &amp; Underwriting* IMBA</t>
  </si>
  <si>
    <t>7MP201SE22Data Analytics &amp; Data Mining</t>
  </si>
  <si>
    <t>08.00AM to
09.00AM</t>
  </si>
  <si>
    <t>09.10AM to 
10.10AM</t>
  </si>
  <si>
    <t>10.20AM to 
11.20PM</t>
  </si>
  <si>
    <t>11.30AM to 
12.30PM</t>
  </si>
  <si>
    <t>1.30PM to
02.30PM</t>
  </si>
  <si>
    <t>02.40PM to
03.40PM</t>
  </si>
  <si>
    <t>03.50PM to 
04.50PM</t>
  </si>
  <si>
    <t>06.10PM to 
07.10PM</t>
  </si>
  <si>
    <t>07.20PM to 
08.20PM</t>
  </si>
  <si>
    <t>CC&amp;AU(A)/ML&amp;AI(B)/IMC(A)</t>
  </si>
  <si>
    <t>TEOM(A)/CSE</t>
  </si>
  <si>
    <t>12:30PM to 01:30PM</t>
  </si>
  <si>
    <t>Holiday</t>
  </si>
  <si>
    <t>Commencement of Classes - Term-VI (January 05, 2026)</t>
  </si>
  <si>
    <t xml:space="preserve">Prof. P. Ganesh  (Div. A &amp; B)
</t>
  </si>
  <si>
    <t>VALU(A)/VALU('C)</t>
  </si>
  <si>
    <t>Prof. Dimple Bhojwani  (Div. C &amp; D)(VF)
Prof. Dipti Saraf (A &amp; B)</t>
  </si>
  <si>
    <t>Prof. Lalit Arora</t>
  </si>
  <si>
    <t>Prof. Shailesh Prabhu</t>
  </si>
  <si>
    <t>Prof. Aishwarya Mitra</t>
  </si>
  <si>
    <t>T6
T5</t>
  </si>
  <si>
    <t>T7</t>
  </si>
  <si>
    <t>T3</t>
  </si>
  <si>
    <t>T5</t>
  </si>
  <si>
    <t>E3
T5</t>
  </si>
  <si>
    <t>VALU('C)</t>
  </si>
  <si>
    <t>Commencement of Classes - Term-V (September 29, 2025)</t>
  </si>
  <si>
    <t>bhavesh@nirmauni.ac.in,
pankaj.agrawal@nirmauni.ac.in</t>
  </si>
  <si>
    <t>lalit.arora@nirmauni.ac.in</t>
  </si>
  <si>
    <t>sanjayjain@nirmauni.ac.in,
riddhi.ambavale_vf@nirmauni.ac.in,riddhi.ambavale@gmail.com</t>
  </si>
  <si>
    <t>sandip@nirmauni.ac.in,
rupam.deb@nirmauni.ac.in</t>
  </si>
  <si>
    <t>himanshuchauhan@nirmauni.ac.in,
kavita.saxena_vf@nirmauni.ac.in,
imkavita@gmail.com</t>
  </si>
  <si>
    <t>shailesh.prabhu@nirmauni.ac.in</t>
  </si>
  <si>
    <t>pganesh.edi@gmail.com,
pganesh@nirmauni.ac.in</t>
  </si>
  <si>
    <t>somayya.madakam@nirmauni.ac.in, anand.kumar@nirmauni.ac.in</t>
  </si>
  <si>
    <t>sapan.oza@tcs.com,</t>
  </si>
  <si>
    <t>omkar.sahoo@nirmauni.ac.in,</t>
  </si>
  <si>
    <t>Satish@nirmauni.ac.in</t>
  </si>
  <si>
    <t>Commencement of OH Classes - Term-V (September 29, 2025)</t>
  </si>
  <si>
    <t>DRM(B)/B2B(A)/B2B('C)/AN(A)/CSE</t>
  </si>
  <si>
    <t>SCM(A)/DRM(B)/PDBE(A)/SCM('C)/PDBE(B)/SCM(B)/PDBE(B)//DV&amp;VS(B)/DV&amp;VS('C)</t>
  </si>
  <si>
    <t>/DV&amp;VS(B)/DV&amp;VS('C)/DM(B)</t>
  </si>
  <si>
    <t>B2B(B)/AN(B)/DRM(A)/DRM('C)</t>
  </si>
  <si>
    <t>DADM/SMKT(A)</t>
  </si>
  <si>
    <t>CC&amp;AU(B)/ML&amp;AI(A)/LSS(B)/BS</t>
  </si>
  <si>
    <t>CC&amp;AU(A)/ML&amp;AI(B)/IMC(A)/VALU(A)</t>
  </si>
  <si>
    <t>LSS(A)/BS/VALU(B)</t>
  </si>
  <si>
    <t>DRM('C)</t>
  </si>
  <si>
    <t>INB('C)</t>
  </si>
  <si>
    <t>CC&amp;AU(A)</t>
  </si>
  <si>
    <t>CC&amp;AU(B)</t>
  </si>
  <si>
    <t>IMC(A)</t>
  </si>
  <si>
    <t>B2B('C)</t>
  </si>
  <si>
    <t>AN(A)</t>
  </si>
  <si>
    <t>AN(B)</t>
  </si>
  <si>
    <t>DV&amp;VS(C)</t>
  </si>
  <si>
    <t>DV&amp;VS(D)</t>
  </si>
  <si>
    <t>SCM('C)</t>
  </si>
  <si>
    <t>TEOM(A)/DV&amp;VS(B)/DV&amp;VS('C)</t>
  </si>
  <si>
    <t>IMC(A)/IMC(B)</t>
  </si>
  <si>
    <t>CC&amp;AU(A)/ML&amp;AI(B)</t>
  </si>
  <si>
    <t>Prof. Anand Kumar</t>
  </si>
  <si>
    <t>DV&amp;VS(B)/DV&amp;VS('C)</t>
  </si>
  <si>
    <t>SMKT(A)/SMKT(B)</t>
  </si>
  <si>
    <t>TEOM(A)/CSE/DV&amp;VS('C)</t>
  </si>
  <si>
    <t>DV&amp;VS('C)/DM(B)</t>
  </si>
  <si>
    <t>VALU(A)/VALU('C)/BS</t>
  </si>
  <si>
    <t>T3
T7</t>
  </si>
  <si>
    <t>T5
E2</t>
  </si>
  <si>
    <t>VALU(A)/VALU(B)/VALU('C)/VALU(D)</t>
  </si>
  <si>
    <t>B2B(A)/B2B('C)/AN(A)</t>
  </si>
  <si>
    <t>CSE/DV&amp;VS(B)</t>
  </si>
  <si>
    <t>DV&amp;VS(B)/DM(B)</t>
  </si>
  <si>
    <t>LSS(A)</t>
  </si>
  <si>
    <t>CC&amp;AU(A)/CC&amp;AU(B)</t>
  </si>
  <si>
    <t>DC/OMSD</t>
  </si>
  <si>
    <t>INB('C)/DRM(B)</t>
  </si>
  <si>
    <t>INB(B)/PDBE(A)</t>
  </si>
  <si>
    <t>INB(A)/PDBE(B)</t>
  </si>
  <si>
    <t>Management Conclave</t>
  </si>
  <si>
    <t>Alumni Day</t>
  </si>
  <si>
    <t>SCM(A)/DRM(B)/PDBE(A)/SCM('C)/PDBE(B)/SCM(B)/PDBE(B)/</t>
  </si>
  <si>
    <t>ML&amp;AI(B)/IMC(A)</t>
  </si>
  <si>
    <t>ML&amp;AI(A)/LSS(B)</t>
  </si>
  <si>
    <t>B2B(A)/B2B('C)/TEOM(B)</t>
  </si>
  <si>
    <t>Monday</t>
  </si>
  <si>
    <t>ML&amp;AI(A)/ML&amp;AI(B)</t>
  </si>
  <si>
    <t>Tuesday</t>
  </si>
  <si>
    <t>Wednesday</t>
  </si>
  <si>
    <t>CC&amp;AU(B)INB('C)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</si>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</sst>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6" fillId="0" borderId="0"/>
    <xf numFmtId="0" fontId="5" fillId="0" borderId="0"/>
    <xf numFmtId="0" fontId="5" fillId="0" borderId="0"/>
    <xf numFmtId="0" fontId="9" fillId="0" borderId="0"/>
    <xf numFmtId="0" fontId="14" fillId="0" borderId="0">
      <alignment vertical="center"/>
    </xf>
    <xf numFmtId="0" fontId="15" fillId="0" borderId="0"/>
    <xf numFmtId="0" fontId="2" fillId="0" borderId="0"/>
    <xf numFmtId="0" fontId="17" fillId="0" borderId="0"/>
    <xf numFmtId="0" fontId="18" fillId="0" borderId="0" applyNumberFormat="0" applyFill="0" applyBorder="0" applyAlignment="0" applyProtection="0"/>
    <xf numFmtId="0" fontId="1" fillId="0" borderId="0"/>
  </cellStyleXfs>
  <cellXfs count="7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3" applyFont="1" applyFill="1" applyBorder="1" applyAlignment="1">
      <alignment horizontal="center" vertical="center" wrapText="1"/>
    </xf>
    <xf numFmtId="0" fontId="11" fillId="4" borderId="1" xfId="3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7" fillId="2" borderId="1" xfId="3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1" fillId="2" borderId="10" xfId="0" applyFont="1" applyFill="1" applyBorder="1" applyAlignment="1">
      <alignment horizontal="center" vertical="center"/>
    </xf>
    <xf numFmtId="0" fontId="12" fillId="2" borderId="0" xfId="3" applyFont="1" applyFill="1" applyAlignment="1">
      <alignment vertical="center" wrapText="1"/>
    </xf>
    <xf numFmtId="0" fontId="7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6" fillId="0" borderId="1" xfId="4" applyFont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2" fillId="2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vertical="center" wrapText="1"/>
    </xf>
    <xf numFmtId="164" fontId="7" fillId="2" borderId="1" xfId="3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left" vertical="center" wrapText="1"/>
    </xf>
    <xf numFmtId="0" fontId="11" fillId="2" borderId="15" xfId="3" applyFont="1" applyFill="1" applyBorder="1" applyAlignment="1">
      <alignment horizontal="center" vertical="center" wrapText="1"/>
    </xf>
    <xf numFmtId="0" fontId="12" fillId="2" borderId="2" xfId="3" applyFont="1" applyFill="1" applyBorder="1" applyAlignment="1">
      <alignment vertical="center" wrapText="1"/>
    </xf>
    <xf numFmtId="0" fontId="18" fillId="2" borderId="1" xfId="9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1" fillId="2" borderId="10" xfId="3" applyFont="1" applyFill="1" applyBorder="1" applyAlignment="1">
      <alignment horizontal="center" vertical="center" wrapText="1"/>
    </xf>
    <xf numFmtId="0" fontId="8" fillId="0" borderId="16" xfId="3" applyFont="1" applyBorder="1" applyAlignment="1">
      <alignment horizontal="center" vertical="center" wrapText="1"/>
    </xf>
    <xf numFmtId="0" fontId="12" fillId="2" borderId="9" xfId="3" applyFont="1" applyFill="1" applyBorder="1" applyAlignment="1">
      <alignment vertical="center" wrapText="1"/>
    </xf>
    <xf numFmtId="0" fontId="12" fillId="2" borderId="3" xfId="3" applyFont="1" applyFill="1" applyBorder="1" applyAlignment="1">
      <alignment vertical="center" wrapText="1"/>
    </xf>
    <xf numFmtId="0" fontId="11" fillId="3" borderId="1" xfId="3" applyFont="1" applyFill="1" applyBorder="1" applyAlignment="1">
      <alignment horizontal="center" vertical="center" wrapText="1"/>
    </xf>
    <xf numFmtId="15" fontId="19" fillId="5" borderId="17" xfId="0" applyNumberFormat="1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0" xfId="3" applyFont="1" applyFill="1" applyBorder="1" applyAlignment="1">
      <alignment horizontal="center" vertical="center" wrapText="1"/>
    </xf>
    <xf numFmtId="0" fontId="12" fillId="2" borderId="13" xfId="3" applyFont="1" applyFill="1" applyBorder="1" applyAlignment="1">
      <alignment horizontal="center" vertical="center" wrapText="1"/>
    </xf>
    <xf numFmtId="0" fontId="12" fillId="2" borderId="1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0" fontId="12" fillId="2" borderId="0" xfId="3" applyFont="1" applyFill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</cellXfs>
  <cellStyles count="11">
    <cellStyle name="Hyperlink" xfId="9" builtinId="8"/>
    <cellStyle name="Normal" xfId="0" builtinId="0"/>
    <cellStyle name="Normal 2" xfId="1" xr:uid="{00000000-0005-0000-0000-000001000000}"/>
    <cellStyle name="Normal 2 2" xfId="3" xr:uid="{00000000-0005-0000-0000-000002000000}"/>
    <cellStyle name="Normal 2 2 2" xfId="10" xr:uid="{BE04DA38-2FFB-474A-8CB8-3F1619B91593}"/>
    <cellStyle name="Normal 2_Class Schedule-Term-I" xfId="2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Normal 7" xfId="8" xr:uid="{679AB6A7-789D-4E96-A2A7-8DE86512F235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3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admin\C\WINDOWS\Temporary%20Internet%20Files\Content.IE5\C967KH6Z\Data\Grade%20(FT)%20(FB)%20(PT)\Graduate%20Batch\FT\2006-08%20(FT)\Term%20-%20IV\Final%20Grade\SPM%20%20-%20Final%20Grade%20(FT)%20(06-0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"/>
      <sheetName val="Final Grade"/>
    </sheetNames>
    <sheetDataSet>
      <sheetData sheetId="0">
        <row r="3">
          <cell r="C3">
            <v>0</v>
          </cell>
          <cell r="D3">
            <v>0</v>
          </cell>
        </row>
        <row r="4">
          <cell r="C4" t="str">
            <v>F</v>
          </cell>
          <cell r="D4">
            <v>0</v>
          </cell>
        </row>
        <row r="5">
          <cell r="C5" t="str">
            <v>D-</v>
          </cell>
          <cell r="D5">
            <v>0.66700000000000004</v>
          </cell>
        </row>
        <row r="6">
          <cell r="C6" t="str">
            <v>D</v>
          </cell>
          <cell r="D6">
            <v>1</v>
          </cell>
        </row>
        <row r="7">
          <cell r="C7" t="str">
            <v>D+</v>
          </cell>
          <cell r="D7">
            <v>1.333</v>
          </cell>
        </row>
        <row r="8">
          <cell r="C8" t="str">
            <v>C-</v>
          </cell>
          <cell r="D8">
            <v>1.667</v>
          </cell>
        </row>
        <row r="9">
          <cell r="C9" t="str">
            <v>C</v>
          </cell>
          <cell r="D9">
            <v>2</v>
          </cell>
        </row>
        <row r="10">
          <cell r="C10" t="str">
            <v>C+</v>
          </cell>
          <cell r="D10">
            <v>2.3330000000000002</v>
          </cell>
        </row>
        <row r="11">
          <cell r="C11" t="str">
            <v>B-</v>
          </cell>
          <cell r="D11">
            <v>2.6669999999999998</v>
          </cell>
        </row>
        <row r="12">
          <cell r="C12" t="str">
            <v>B</v>
          </cell>
          <cell r="D12">
            <v>3</v>
          </cell>
        </row>
        <row r="13">
          <cell r="C13" t="str">
            <v>B+</v>
          </cell>
          <cell r="D13">
            <v>3.3330000000000002</v>
          </cell>
        </row>
        <row r="14">
          <cell r="C14" t="str">
            <v>A-</v>
          </cell>
          <cell r="D14">
            <v>3.6669999999999998</v>
          </cell>
        </row>
        <row r="15">
          <cell r="C15" t="str">
            <v>A</v>
          </cell>
          <cell r="D15">
            <v>4</v>
          </cell>
        </row>
        <row r="16">
          <cell r="C16" t="str">
            <v>A+</v>
          </cell>
          <cell r="D16">
            <v>4.3330000000000002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ndip@nirmauni.ac.in," TargetMode="External"/><Relationship Id="rId7" Type="http://schemas.openxmlformats.org/officeDocument/2006/relationships/hyperlink" Target="mailto:Satish@nirmauni.ac.in" TargetMode="External"/><Relationship Id="rId2" Type="http://schemas.openxmlformats.org/officeDocument/2006/relationships/hyperlink" Target="mailto:dipti.saraf@nirmauni.ac.in" TargetMode="External"/><Relationship Id="rId1" Type="http://schemas.openxmlformats.org/officeDocument/2006/relationships/hyperlink" Target="mailto:himanshuchauhan@nirmauni.ac.in," TargetMode="External"/><Relationship Id="rId6" Type="http://schemas.openxmlformats.org/officeDocument/2006/relationships/hyperlink" Target="mailto:omkar.sahoo@nirmauni.ac.in," TargetMode="External"/><Relationship Id="rId5" Type="http://schemas.openxmlformats.org/officeDocument/2006/relationships/hyperlink" Target="mailto:sapan.oza@tcs.com," TargetMode="External"/><Relationship Id="rId4" Type="http://schemas.openxmlformats.org/officeDocument/2006/relationships/hyperlink" Target="mailto:pganesh.edi@gmail.com,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I29"/>
  <sheetViews>
    <sheetView view="pageBreakPreview" topLeftCell="A7" zoomScale="80" zoomScaleNormal="81" zoomScaleSheetLayoutView="80" workbookViewId="0">
      <selection activeCell="A3" sqref="A3"/>
    </sheetView>
  </sheetViews>
  <sheetFormatPr defaultColWidth="9.1328125" defaultRowHeight="20.100000000000001" customHeight="1" x14ac:dyDescent="0.35"/>
  <cols>
    <col min="1" max="1" width="6.19921875" style="1" customWidth="1"/>
    <col min="2" max="2" width="15.06640625" style="1" bestFit="1" customWidth="1"/>
    <col min="3" max="3" width="10.6640625" style="1" customWidth="1"/>
    <col min="4" max="4" width="44.9296875" style="13" customWidth="1"/>
    <col min="5" max="5" width="14.3984375" style="13" bestFit="1" customWidth="1"/>
    <col min="6" max="6" width="7.796875" style="13" customWidth="1"/>
    <col min="7" max="7" width="30.19921875" style="20" customWidth="1"/>
    <col min="8" max="8" width="6.06640625" style="1" customWidth="1"/>
    <col min="9" max="9" width="8.33203125" style="1" hidden="1" customWidth="1"/>
    <col min="10" max="10" width="9.1328125" style="1" hidden="1" customWidth="1"/>
    <col min="11" max="12" width="35.19921875" style="1" customWidth="1"/>
    <col min="13" max="16384" width="9.1328125" style="13"/>
  </cols>
  <sheetData>
    <row r="1" spans="1:217" ht="25.5" customHeight="1" x14ac:dyDescent="0.35">
      <c r="A1" s="10" t="s">
        <v>18</v>
      </c>
      <c r="B1" s="11" t="s">
        <v>19</v>
      </c>
      <c r="C1" s="10" t="s">
        <v>20</v>
      </c>
      <c r="D1" s="12" t="s">
        <v>21</v>
      </c>
      <c r="E1" s="10" t="s">
        <v>22</v>
      </c>
      <c r="F1" s="11" t="s">
        <v>23</v>
      </c>
      <c r="G1" s="12" t="s">
        <v>24</v>
      </c>
      <c r="H1" s="11" t="s">
        <v>25</v>
      </c>
      <c r="I1" s="11" t="s">
        <v>26</v>
      </c>
      <c r="J1" s="11" t="s">
        <v>27</v>
      </c>
      <c r="K1" s="30" t="s">
        <v>118</v>
      </c>
      <c r="L1" s="30" t="s">
        <v>120</v>
      </c>
    </row>
    <row r="2" spans="1:217" s="23" customFormat="1" ht="47.25" x14ac:dyDescent="0.35">
      <c r="A2" s="16">
        <v>1</v>
      </c>
      <c r="B2" s="16" t="s">
        <v>69</v>
      </c>
      <c r="C2" s="16" t="s">
        <v>29</v>
      </c>
      <c r="D2" s="15" t="s">
        <v>30</v>
      </c>
      <c r="E2" s="14" t="s">
        <v>28</v>
      </c>
      <c r="F2" s="22">
        <v>3</v>
      </c>
      <c r="G2" s="15" t="s">
        <v>203</v>
      </c>
      <c r="H2" s="16" t="s">
        <v>207</v>
      </c>
      <c r="I2" s="16" t="s">
        <v>70</v>
      </c>
      <c r="J2" s="16" t="s">
        <v>166</v>
      </c>
      <c r="K2" s="37" t="s">
        <v>141</v>
      </c>
      <c r="L2" s="16" t="s">
        <v>121</v>
      </c>
    </row>
    <row r="3" spans="1:217" s="23" customFormat="1" ht="31.5" x14ac:dyDescent="0.35">
      <c r="A3" s="16">
        <v>2</v>
      </c>
      <c r="B3" s="14" t="s">
        <v>71</v>
      </c>
      <c r="C3" s="14" t="s">
        <v>41</v>
      </c>
      <c r="D3" s="32" t="s">
        <v>184</v>
      </c>
      <c r="E3" s="14" t="s">
        <v>28</v>
      </c>
      <c r="F3" s="33">
        <v>3</v>
      </c>
      <c r="G3" s="34" t="s">
        <v>161</v>
      </c>
      <c r="H3" s="16" t="s">
        <v>207</v>
      </c>
      <c r="I3" s="16" t="s">
        <v>84</v>
      </c>
      <c r="J3" s="16" t="s">
        <v>167</v>
      </c>
      <c r="K3" s="16" t="s">
        <v>214</v>
      </c>
      <c r="L3" s="16" t="s">
        <v>122</v>
      </c>
    </row>
    <row r="4" spans="1:217" s="23" customFormat="1" ht="31.5" x14ac:dyDescent="0.35">
      <c r="A4" s="16">
        <v>3</v>
      </c>
      <c r="B4" s="16" t="s">
        <v>72</v>
      </c>
      <c r="C4" s="16" t="s">
        <v>13</v>
      </c>
      <c r="D4" s="17" t="s">
        <v>143</v>
      </c>
      <c r="E4" s="14" t="s">
        <v>28</v>
      </c>
      <c r="F4" s="22">
        <v>3</v>
      </c>
      <c r="G4" s="15" t="s">
        <v>142</v>
      </c>
      <c r="H4" s="16" t="s">
        <v>208</v>
      </c>
      <c r="I4" s="16">
        <v>3</v>
      </c>
      <c r="J4" s="16" t="s">
        <v>168</v>
      </c>
      <c r="K4" s="16" t="s">
        <v>119</v>
      </c>
      <c r="L4" s="16" t="s">
        <v>206</v>
      </c>
    </row>
    <row r="5" spans="1:217" s="23" customFormat="1" ht="31.5" x14ac:dyDescent="0.35">
      <c r="A5" s="16">
        <v>4</v>
      </c>
      <c r="B5" s="16" t="s">
        <v>157</v>
      </c>
      <c r="C5" s="16" t="s">
        <v>139</v>
      </c>
      <c r="D5" s="17" t="s">
        <v>185</v>
      </c>
      <c r="E5" s="14" t="s">
        <v>28</v>
      </c>
      <c r="F5" s="22">
        <v>3</v>
      </c>
      <c r="G5" s="15" t="s">
        <v>140</v>
      </c>
      <c r="H5" s="16" t="s">
        <v>116</v>
      </c>
      <c r="I5" s="16">
        <v>3</v>
      </c>
      <c r="J5" s="16">
        <v>105</v>
      </c>
      <c r="K5" s="16" t="s">
        <v>215</v>
      </c>
      <c r="L5" s="16" t="s">
        <v>204</v>
      </c>
    </row>
    <row r="6" spans="1:217" s="23" customFormat="1" ht="24.95" customHeight="1" x14ac:dyDescent="0.35">
      <c r="A6" s="16">
        <v>5</v>
      </c>
      <c r="B6" s="16" t="s">
        <v>144</v>
      </c>
      <c r="C6" s="16" t="s">
        <v>145</v>
      </c>
      <c r="D6" s="17" t="s">
        <v>146</v>
      </c>
      <c r="E6" s="16" t="s">
        <v>33</v>
      </c>
      <c r="F6" s="22">
        <v>3</v>
      </c>
      <c r="G6" s="15" t="s">
        <v>169</v>
      </c>
      <c r="H6" s="16" t="s">
        <v>254</v>
      </c>
      <c r="I6" s="16" t="s">
        <v>74</v>
      </c>
      <c r="J6" s="16">
        <v>71</v>
      </c>
      <c r="K6" s="16" t="s">
        <v>216</v>
      </c>
      <c r="L6" s="16" t="s">
        <v>123</v>
      </c>
    </row>
    <row r="7" spans="1:217" s="23" customFormat="1" ht="31.5" x14ac:dyDescent="0.35">
      <c r="A7" s="16">
        <v>6</v>
      </c>
      <c r="B7" s="16" t="s">
        <v>73</v>
      </c>
      <c r="C7" s="16" t="s">
        <v>31</v>
      </c>
      <c r="D7" s="17" t="s">
        <v>32</v>
      </c>
      <c r="E7" s="16" t="s">
        <v>33</v>
      </c>
      <c r="F7" s="22">
        <v>3</v>
      </c>
      <c r="G7" s="15" t="s">
        <v>162</v>
      </c>
      <c r="H7" s="16" t="s">
        <v>255</v>
      </c>
      <c r="I7" s="16" t="s">
        <v>147</v>
      </c>
      <c r="J7" s="16"/>
      <c r="K7" s="37" t="s">
        <v>217</v>
      </c>
      <c r="L7" s="16" t="s">
        <v>126</v>
      </c>
    </row>
    <row r="8" spans="1:217" s="23" customFormat="1" ht="38.25" x14ac:dyDescent="0.35">
      <c r="A8" s="16">
        <v>7</v>
      </c>
      <c r="B8" s="16" t="s">
        <v>75</v>
      </c>
      <c r="C8" s="16" t="s">
        <v>14</v>
      </c>
      <c r="D8" s="17" t="s">
        <v>34</v>
      </c>
      <c r="E8" s="16" t="s">
        <v>33</v>
      </c>
      <c r="F8" s="22">
        <v>3</v>
      </c>
      <c r="G8" s="15" t="s">
        <v>158</v>
      </c>
      <c r="H8" s="16" t="s">
        <v>207</v>
      </c>
      <c r="I8" s="16" t="s">
        <v>74</v>
      </c>
      <c r="J8" s="16"/>
      <c r="K8" s="37" t="s">
        <v>218</v>
      </c>
      <c r="L8" s="16" t="s">
        <v>127</v>
      </c>
    </row>
    <row r="9" spans="1:217" s="23" customFormat="1" ht="15.75" x14ac:dyDescent="0.35">
      <c r="A9" s="16">
        <v>8</v>
      </c>
      <c r="B9" s="16" t="s">
        <v>76</v>
      </c>
      <c r="C9" s="16" t="s">
        <v>37</v>
      </c>
      <c r="D9" s="17" t="s">
        <v>55</v>
      </c>
      <c r="E9" s="16" t="s">
        <v>33</v>
      </c>
      <c r="F9" s="22">
        <v>3</v>
      </c>
      <c r="G9" s="15" t="s">
        <v>148</v>
      </c>
      <c r="H9" s="16" t="s">
        <v>208</v>
      </c>
      <c r="I9" s="16">
        <v>2</v>
      </c>
      <c r="J9" s="16"/>
      <c r="K9" s="16" t="s">
        <v>219</v>
      </c>
      <c r="L9" s="16" t="s">
        <v>205</v>
      </c>
    </row>
    <row r="10" spans="1:217" s="23" customFormat="1" ht="27.75" customHeight="1" x14ac:dyDescent="0.35">
      <c r="A10" s="16">
        <v>9</v>
      </c>
      <c r="B10" s="16" t="s">
        <v>77</v>
      </c>
      <c r="C10" s="16" t="s">
        <v>15</v>
      </c>
      <c r="D10" s="17" t="s">
        <v>56</v>
      </c>
      <c r="E10" s="16" t="s">
        <v>35</v>
      </c>
      <c r="F10" s="22">
        <v>3</v>
      </c>
      <c r="G10" s="15" t="s">
        <v>66</v>
      </c>
      <c r="H10" s="16" t="s">
        <v>116</v>
      </c>
      <c r="I10" s="16">
        <v>2</v>
      </c>
      <c r="J10" s="16"/>
      <c r="K10" s="16" t="s">
        <v>128</v>
      </c>
      <c r="L10" s="16" t="s">
        <v>124</v>
      </c>
    </row>
    <row r="11" spans="1:217" s="24" customFormat="1" ht="15.75" x14ac:dyDescent="0.35">
      <c r="A11" s="16">
        <v>10</v>
      </c>
      <c r="B11" s="16" t="s">
        <v>78</v>
      </c>
      <c r="C11" s="16" t="s">
        <v>45</v>
      </c>
      <c r="D11" s="17" t="s">
        <v>46</v>
      </c>
      <c r="E11" s="16" t="s">
        <v>35</v>
      </c>
      <c r="F11" s="22">
        <v>3</v>
      </c>
      <c r="G11" s="17" t="s">
        <v>159</v>
      </c>
      <c r="H11" s="16" t="s">
        <v>116</v>
      </c>
      <c r="I11" s="16">
        <v>2</v>
      </c>
      <c r="J11" s="16"/>
      <c r="K11" s="16" t="s">
        <v>129</v>
      </c>
      <c r="L11" s="16" t="s">
        <v>68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</row>
    <row r="12" spans="1:217" s="24" customFormat="1" ht="39.75" customHeight="1" x14ac:dyDescent="0.35">
      <c r="A12" s="16">
        <v>11</v>
      </c>
      <c r="B12" s="16" t="s">
        <v>79</v>
      </c>
      <c r="C12" s="16" t="s">
        <v>80</v>
      </c>
      <c r="D12" s="17" t="s">
        <v>88</v>
      </c>
      <c r="E12" s="16" t="s">
        <v>59</v>
      </c>
      <c r="F12" s="22">
        <v>3</v>
      </c>
      <c r="G12" s="15" t="s">
        <v>201</v>
      </c>
      <c r="H12" s="16" t="s">
        <v>209</v>
      </c>
      <c r="I12" s="16">
        <v>2</v>
      </c>
      <c r="J12" s="16"/>
      <c r="K12" s="37" t="s">
        <v>220</v>
      </c>
      <c r="L12" s="16" t="s">
        <v>125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</row>
    <row r="13" spans="1:217" s="23" customFormat="1" ht="63" x14ac:dyDescent="0.35">
      <c r="A13" s="16">
        <v>12</v>
      </c>
      <c r="B13" s="16" t="s">
        <v>81</v>
      </c>
      <c r="C13" s="16" t="s">
        <v>112</v>
      </c>
      <c r="D13" s="17" t="s">
        <v>82</v>
      </c>
      <c r="E13" s="16" t="s">
        <v>59</v>
      </c>
      <c r="F13" s="22">
        <v>3</v>
      </c>
      <c r="G13" s="15" t="s">
        <v>163</v>
      </c>
      <c r="H13" s="16" t="s">
        <v>211</v>
      </c>
      <c r="I13" s="16" t="s">
        <v>149</v>
      </c>
      <c r="J13" s="16"/>
      <c r="K13" s="16" t="s">
        <v>221</v>
      </c>
      <c r="L13" s="16" t="s">
        <v>125</v>
      </c>
    </row>
    <row r="14" spans="1:217" s="23" customFormat="1" ht="15.75" x14ac:dyDescent="0.35">
      <c r="A14" s="16">
        <v>13</v>
      </c>
      <c r="B14" s="16" t="s">
        <v>83</v>
      </c>
      <c r="C14" s="16" t="s">
        <v>42</v>
      </c>
      <c r="D14" s="17" t="s">
        <v>43</v>
      </c>
      <c r="E14" s="16" t="s">
        <v>59</v>
      </c>
      <c r="F14" s="22">
        <v>3</v>
      </c>
      <c r="G14" s="29" t="s">
        <v>164</v>
      </c>
      <c r="H14" s="16" t="s">
        <v>116</v>
      </c>
      <c r="I14" s="16">
        <v>2</v>
      </c>
      <c r="J14" s="16"/>
      <c r="K14" s="37" t="s">
        <v>222</v>
      </c>
      <c r="L14" s="16" t="s">
        <v>248</v>
      </c>
    </row>
    <row r="15" spans="1:217" s="23" customFormat="1" ht="27.75" customHeight="1" x14ac:dyDescent="0.35">
      <c r="A15" s="16">
        <v>14</v>
      </c>
      <c r="B15" s="16" t="s">
        <v>85</v>
      </c>
      <c r="C15" s="16" t="s">
        <v>47</v>
      </c>
      <c r="D15" s="17" t="s">
        <v>151</v>
      </c>
      <c r="E15" s="16" t="s">
        <v>59</v>
      </c>
      <c r="F15" s="22">
        <v>3</v>
      </c>
      <c r="G15" s="29" t="s">
        <v>150</v>
      </c>
      <c r="H15" s="16" t="s">
        <v>210</v>
      </c>
      <c r="I15" s="16">
        <v>2</v>
      </c>
      <c r="J15" s="16"/>
      <c r="K15" s="37" t="s">
        <v>223</v>
      </c>
      <c r="L15" s="16" t="s">
        <v>130</v>
      </c>
    </row>
    <row r="16" spans="1:217" s="23" customFormat="1" ht="27.75" customHeight="1" x14ac:dyDescent="0.35">
      <c r="A16" s="16">
        <v>15</v>
      </c>
      <c r="B16" s="16" t="s">
        <v>86</v>
      </c>
      <c r="C16" s="16" t="s">
        <v>87</v>
      </c>
      <c r="D16" s="17" t="s">
        <v>89</v>
      </c>
      <c r="E16" s="16" t="s">
        <v>60</v>
      </c>
      <c r="F16" s="22">
        <v>3</v>
      </c>
      <c r="G16" s="29" t="s">
        <v>90</v>
      </c>
      <c r="H16" s="16" t="s">
        <v>209</v>
      </c>
      <c r="I16" s="16">
        <v>1</v>
      </c>
      <c r="J16" s="16"/>
      <c r="K16" s="16" t="s">
        <v>134</v>
      </c>
      <c r="L16" s="16" t="s">
        <v>90</v>
      </c>
    </row>
    <row r="17" spans="1:12" s="23" customFormat="1" ht="27.75" customHeight="1" x14ac:dyDescent="0.35">
      <c r="A17" s="16">
        <v>16</v>
      </c>
      <c r="B17" s="14" t="s">
        <v>91</v>
      </c>
      <c r="C17" s="14" t="s">
        <v>57</v>
      </c>
      <c r="D17" s="32" t="s">
        <v>92</v>
      </c>
      <c r="E17" s="14" t="s">
        <v>60</v>
      </c>
      <c r="F17" s="33">
        <v>3</v>
      </c>
      <c r="G17" s="32" t="s">
        <v>105</v>
      </c>
      <c r="H17" s="16" t="s">
        <v>209</v>
      </c>
      <c r="I17" s="16">
        <v>2</v>
      </c>
      <c r="J17" s="16"/>
      <c r="K17" s="16" t="s">
        <v>135</v>
      </c>
      <c r="L17" s="16" t="s">
        <v>131</v>
      </c>
    </row>
    <row r="18" spans="1:12" s="23" customFormat="1" ht="27.75" customHeight="1" x14ac:dyDescent="0.35">
      <c r="A18" s="16">
        <v>17</v>
      </c>
      <c r="B18" s="16" t="s">
        <v>93</v>
      </c>
      <c r="C18" s="16" t="s">
        <v>58</v>
      </c>
      <c r="D18" s="17" t="s">
        <v>94</v>
      </c>
      <c r="E18" s="14" t="s">
        <v>60</v>
      </c>
      <c r="F18" s="22">
        <v>3</v>
      </c>
      <c r="G18" s="17" t="s">
        <v>152</v>
      </c>
      <c r="H18" s="16" t="s">
        <v>209</v>
      </c>
      <c r="I18" s="16">
        <v>3</v>
      </c>
      <c r="J18" s="16"/>
      <c r="K18" s="16" t="s">
        <v>136</v>
      </c>
      <c r="L18" s="16" t="s">
        <v>132</v>
      </c>
    </row>
    <row r="19" spans="1:12" s="23" customFormat="1" ht="27.75" customHeight="1" x14ac:dyDescent="0.35">
      <c r="A19" s="16">
        <v>18</v>
      </c>
      <c r="B19" s="14" t="s">
        <v>95</v>
      </c>
      <c r="C19" s="14" t="s">
        <v>96</v>
      </c>
      <c r="D19" s="32" t="s">
        <v>160</v>
      </c>
      <c r="E19" s="14" t="s">
        <v>60</v>
      </c>
      <c r="F19" s="33">
        <v>3</v>
      </c>
      <c r="G19" s="32" t="s">
        <v>165</v>
      </c>
      <c r="H19" s="16" t="s">
        <v>209</v>
      </c>
      <c r="I19" s="16">
        <v>1</v>
      </c>
      <c r="J19" s="16"/>
      <c r="K19" s="16" t="s">
        <v>137</v>
      </c>
      <c r="L19" s="16" t="s">
        <v>133</v>
      </c>
    </row>
    <row r="20" spans="1:12" s="23" customFormat="1" ht="27.75" customHeight="1" x14ac:dyDescent="0.35">
      <c r="A20" s="16">
        <v>19</v>
      </c>
      <c r="B20" s="16" t="s">
        <v>97</v>
      </c>
      <c r="C20" s="16" t="s">
        <v>98</v>
      </c>
      <c r="D20" s="17" t="s">
        <v>99</v>
      </c>
      <c r="E20" s="14" t="s">
        <v>100</v>
      </c>
      <c r="F20" s="22">
        <v>3</v>
      </c>
      <c r="G20" s="17" t="s">
        <v>101</v>
      </c>
      <c r="H20" s="16" t="s">
        <v>116</v>
      </c>
      <c r="I20" s="16">
        <v>1</v>
      </c>
      <c r="J20" s="16"/>
      <c r="K20" s="16" t="s">
        <v>138</v>
      </c>
      <c r="L20" s="16" t="s">
        <v>101</v>
      </c>
    </row>
    <row r="21" spans="1:12" s="23" customFormat="1" ht="15.75" x14ac:dyDescent="0.35">
      <c r="A21" s="16">
        <v>20</v>
      </c>
      <c r="B21" s="16" t="s">
        <v>154</v>
      </c>
      <c r="C21" s="16" t="s">
        <v>155</v>
      </c>
      <c r="D21" s="17" t="s">
        <v>153</v>
      </c>
      <c r="E21" s="14" t="s">
        <v>100</v>
      </c>
      <c r="F21" s="22">
        <v>3</v>
      </c>
      <c r="G21" s="17" t="s">
        <v>156</v>
      </c>
      <c r="H21" s="16" t="s">
        <v>116</v>
      </c>
      <c r="I21" s="16">
        <v>1</v>
      </c>
      <c r="J21" s="16"/>
      <c r="K21" s="37" t="s">
        <v>224</v>
      </c>
      <c r="L21" s="16" t="s">
        <v>156</v>
      </c>
    </row>
    <row r="22" spans="1:12" ht="24.95" customHeight="1" x14ac:dyDescent="0.35">
      <c r="A22" s="13"/>
      <c r="B22" s="13"/>
      <c r="C22" s="13"/>
      <c r="E22" s="18" t="s">
        <v>36</v>
      </c>
      <c r="F22" s="19">
        <f>SUM(F2:F21)</f>
        <v>60</v>
      </c>
      <c r="G22" s="13"/>
      <c r="H22" s="13"/>
      <c r="I22" s="13"/>
      <c r="J22" s="13"/>
      <c r="K22" s="13"/>
      <c r="L22" s="13"/>
    </row>
    <row r="23" spans="1:12" ht="21" customHeight="1" x14ac:dyDescent="0.35">
      <c r="A23" s="13"/>
      <c r="B23" s="13"/>
      <c r="C23" s="13"/>
      <c r="G23" s="13"/>
      <c r="H23" s="13"/>
      <c r="I23" s="13"/>
      <c r="J23" s="13"/>
      <c r="K23" s="13">
        <f>62+69</f>
        <v>131</v>
      </c>
      <c r="L23" s="13"/>
    </row>
    <row r="24" spans="1:12" ht="20.100000000000001" customHeight="1" x14ac:dyDescent="0.35">
      <c r="B24" s="1" t="str">
        <f>CONCATENATE(B12,D12)</f>
        <v>7MP720SE22Technology Enabled Operations Management* IMBA</v>
      </c>
    </row>
    <row r="25" spans="1:12" ht="20.100000000000001" customHeight="1" x14ac:dyDescent="0.35">
      <c r="B25" s="1" t="str">
        <f>CONCATENATE(B13,D13)</f>
        <v>7MP707SE24Data Visualisation &amp; Visual Storytelling</v>
      </c>
    </row>
    <row r="26" spans="1:12" ht="20.100000000000001" customHeight="1" x14ac:dyDescent="0.35">
      <c r="B26" s="1" t="str">
        <f>CONCATENATE(B14,D14)</f>
        <v>7MP708SE22Digital Consulting</v>
      </c>
    </row>
    <row r="27" spans="1:12" ht="20.100000000000001" customHeight="1" x14ac:dyDescent="0.35">
      <c r="B27" s="1" t="str">
        <f>CONCATENATE(B15,D15)</f>
        <v>7MP714SE22Machine Learning &amp; Artificial Intelligence* IMBA</v>
      </c>
    </row>
    <row r="28" spans="1:12" ht="20.100000000000001" customHeight="1" x14ac:dyDescent="0.35">
      <c r="B28" s="1" t="str">
        <f>CONCATENATE(B16,D16)</f>
        <v>7MP201SE22Data Analytics &amp; Data Mining* IMBA</v>
      </c>
    </row>
    <row r="29" spans="1:12" ht="20.100000000000001" customHeight="1" x14ac:dyDescent="0.35">
      <c r="B29" s="1" t="s">
        <v>186</v>
      </c>
    </row>
  </sheetData>
  <autoFilter ref="A1:HI22" xr:uid="{00000000-0001-0000-0000-000000000000}"/>
  <hyperlinks>
    <hyperlink ref="K8" r:id="rId1" display="himanshuchauhan@nirmauni.ac.in,_x000a_" xr:uid="{9EB55FC8-6B73-450B-9ED5-DFC0C5ABDA3C}"/>
    <hyperlink ref="K2" r:id="rId2" xr:uid="{E4A3BA25-BD19-4684-94DC-DE4D176332B1}"/>
    <hyperlink ref="K7" r:id="rId3" display="sandip@nirmauni.ac.in," xr:uid="{E28CB428-D644-4C92-B38F-2EDFD3597834}"/>
    <hyperlink ref="K12" r:id="rId4" display="pganesh.edi@gmail.com," xr:uid="{714FE7F1-C8D1-4EA7-A5E1-67A75123A754}"/>
    <hyperlink ref="K14" r:id="rId5" xr:uid="{537B950B-3EF8-4761-829F-D805A23E2A0D}"/>
    <hyperlink ref="K15" r:id="rId6" xr:uid="{6B3D8DA9-3796-4736-8E5F-8B6EF1B3E72D}"/>
    <hyperlink ref="K21" r:id="rId7" xr:uid="{FD3D1E2E-A4DC-467F-9A67-6165A265D20E}"/>
  </hyperlinks>
  <printOptions horizontalCentered="1"/>
  <pageMargins left="0.15748031496062992" right="0.15748031496062992" top="1.0236220472440944" bottom="0.51181102362204722" header="0.27559055118110237" footer="0.51181102362204722"/>
  <pageSetup paperSize="9" scale="77" fitToWidth="0" orientation="landscape" horizontalDpi="1200" verticalDpi="1200" r:id="rId8"/>
  <headerFooter alignWithMargins="0">
    <oddHeader>&amp;C&amp;"+,Bold"&amp;14Institute of Management, Nirma University
Master of Business Administration &amp; B. Tech (CSE) MBA
Batch: 2024 - 2026 &amp; 2021-26
 (Term - V)
Details of Courses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34"/>
  <sheetViews>
    <sheetView tabSelected="1" topLeftCell="D59" zoomScale="85" zoomScaleNormal="85" workbookViewId="0">
      <selection activeCell="K69" sqref="K69"/>
    </sheetView>
  </sheetViews>
  <sheetFormatPr defaultColWidth="9.1328125" defaultRowHeight="18" customHeight="1" x14ac:dyDescent="0.35"/>
  <cols>
    <col min="1" max="1" width="12.1328125" style="1" bestFit="1" customWidth="1"/>
    <col min="2" max="2" width="11.59765625" style="1" customWidth="1"/>
    <col min="3" max="4" width="26.3984375" style="1" customWidth="1"/>
    <col min="5" max="5" width="25.59765625" style="1" customWidth="1"/>
    <col min="6" max="6" width="24" style="1" customWidth="1"/>
    <col min="7" max="7" width="12.1328125" style="1" customWidth="1"/>
    <col min="8" max="8" width="18.73046875" style="1" customWidth="1"/>
    <col min="9" max="9" width="29.796875" style="1" customWidth="1"/>
    <col min="10" max="10" width="36.6640625" style="1" customWidth="1"/>
    <col min="11" max="11" width="33.73046875" style="1" customWidth="1"/>
    <col min="12" max="14" width="13.86328125" style="1" bestFit="1" customWidth="1"/>
    <col min="15" max="16" width="9.1328125" style="1" customWidth="1"/>
    <col min="17" max="17" width="10" style="1" bestFit="1" customWidth="1"/>
    <col min="18" max="18" width="9.1328125" style="1"/>
    <col min="19" max="19" width="10.6640625" style="1" bestFit="1" customWidth="1"/>
    <col min="20" max="20" width="13.59765625" style="1" bestFit="1" customWidth="1"/>
    <col min="21" max="21" width="16.33203125" style="1" bestFit="1" customWidth="1"/>
    <col min="22" max="22" width="19" style="1" bestFit="1" customWidth="1"/>
    <col min="23" max="23" width="12.53125" style="1" bestFit="1" customWidth="1"/>
    <col min="24" max="24" width="36" style="1" customWidth="1"/>
    <col min="25" max="25" width="12.1328125" style="1" bestFit="1" customWidth="1"/>
    <col min="26" max="26" width="12.6640625" style="1" bestFit="1" customWidth="1"/>
    <col min="27" max="27" width="11.46484375" style="1" bestFit="1" customWidth="1"/>
    <col min="28" max="28" width="10.796875" style="1" bestFit="1" customWidth="1"/>
    <col min="29" max="29" width="11.46484375" style="1" bestFit="1" customWidth="1"/>
    <col min="30" max="30" width="11.46484375" style="1" customWidth="1"/>
    <col min="31" max="16384" width="9.1328125" style="1"/>
  </cols>
  <sheetData>
    <row r="1" spans="1:31" ht="23.25" customHeight="1" x14ac:dyDescent="0.35">
      <c r="A1" s="71" t="s">
        <v>5</v>
      </c>
      <c r="B1" s="71" t="s">
        <v>6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67</v>
      </c>
      <c r="H1" s="5" t="s">
        <v>4</v>
      </c>
      <c r="I1" s="5" t="s">
        <v>7</v>
      </c>
      <c r="J1" s="5" t="s">
        <v>8</v>
      </c>
      <c r="K1" s="5" t="s">
        <v>9</v>
      </c>
      <c r="L1" s="5" t="s">
        <v>44</v>
      </c>
      <c r="M1" s="5" t="s">
        <v>49</v>
      </c>
      <c r="N1" s="5" t="s">
        <v>50</v>
      </c>
      <c r="O1" s="57" t="s">
        <v>6</v>
      </c>
      <c r="Q1" s="71" t="s">
        <v>5</v>
      </c>
      <c r="R1" s="71" t="s">
        <v>6</v>
      </c>
      <c r="S1" s="5" t="s">
        <v>0</v>
      </c>
      <c r="T1" s="5" t="s">
        <v>1</v>
      </c>
      <c r="U1" s="5" t="s">
        <v>2</v>
      </c>
      <c r="V1" s="5" t="s">
        <v>3</v>
      </c>
      <c r="W1" s="5" t="s">
        <v>4</v>
      </c>
      <c r="X1" s="5" t="s">
        <v>4</v>
      </c>
      <c r="Y1" s="5" t="s">
        <v>7</v>
      </c>
      <c r="Z1" s="5" t="s">
        <v>8</v>
      </c>
      <c r="AA1" s="5" t="s">
        <v>9</v>
      </c>
      <c r="AB1" s="5" t="s">
        <v>44</v>
      </c>
      <c r="AC1" s="5" t="s">
        <v>49</v>
      </c>
      <c r="AD1" s="5" t="s">
        <v>50</v>
      </c>
      <c r="AE1" s="57" t="s">
        <v>6</v>
      </c>
    </row>
    <row r="2" spans="1:31" ht="51" customHeight="1" x14ac:dyDescent="0.35">
      <c r="A2" s="72"/>
      <c r="B2" s="72"/>
      <c r="C2" s="6" t="s">
        <v>187</v>
      </c>
      <c r="D2" s="6" t="s">
        <v>188</v>
      </c>
      <c r="E2" s="6" t="s">
        <v>189</v>
      </c>
      <c r="F2" s="6" t="s">
        <v>190</v>
      </c>
      <c r="G2" s="6" t="s">
        <v>198</v>
      </c>
      <c r="H2" s="6" t="s">
        <v>191</v>
      </c>
      <c r="I2" s="6" t="s">
        <v>192</v>
      </c>
      <c r="J2" s="6" t="s">
        <v>193</v>
      </c>
      <c r="K2" s="6" t="s">
        <v>48</v>
      </c>
      <c r="L2" s="6" t="s">
        <v>194</v>
      </c>
      <c r="M2" s="6" t="s">
        <v>195</v>
      </c>
      <c r="N2" s="42" t="s">
        <v>61</v>
      </c>
      <c r="O2" s="58"/>
      <c r="Q2" s="72"/>
      <c r="R2" s="72"/>
      <c r="S2" s="6" t="s">
        <v>187</v>
      </c>
      <c r="T2" s="6" t="s">
        <v>188</v>
      </c>
      <c r="U2" s="6" t="s">
        <v>189</v>
      </c>
      <c r="V2" s="6" t="s">
        <v>190</v>
      </c>
      <c r="W2" s="6"/>
      <c r="X2" s="6" t="s">
        <v>191</v>
      </c>
      <c r="Y2" s="6" t="s">
        <v>192</v>
      </c>
      <c r="Z2" s="6" t="s">
        <v>193</v>
      </c>
      <c r="AA2" s="6" t="s">
        <v>48</v>
      </c>
      <c r="AB2" s="6" t="s">
        <v>194</v>
      </c>
      <c r="AC2" s="6" t="s">
        <v>195</v>
      </c>
      <c r="AD2" s="42" t="s">
        <v>61</v>
      </c>
      <c r="AE2" s="58"/>
    </row>
    <row r="3" spans="1:31" ht="24.95" customHeight="1" x14ac:dyDescent="0.35">
      <c r="A3" s="3"/>
      <c r="B3" s="4"/>
      <c r="C3" s="54" t="s">
        <v>213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Q3" s="3"/>
      <c r="R3" s="4"/>
      <c r="S3" s="54" t="s">
        <v>225</v>
      </c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6"/>
    </row>
    <row r="4" spans="1:31" ht="49.5" customHeight="1" x14ac:dyDescent="0.35">
      <c r="A4" s="3">
        <v>45929</v>
      </c>
      <c r="B4" s="25" t="str">
        <f t="shared" ref="B4:B24" si="0">TEXT(A4,"dddd")</f>
        <v>Monday</v>
      </c>
      <c r="C4" s="7" t="s">
        <v>170</v>
      </c>
      <c r="D4" s="7" t="s">
        <v>173</v>
      </c>
      <c r="E4" s="7" t="s">
        <v>172</v>
      </c>
      <c r="F4" s="7" t="s">
        <v>171</v>
      </c>
      <c r="G4" s="7"/>
      <c r="H4" s="7" t="s">
        <v>175</v>
      </c>
      <c r="I4" s="41" t="s">
        <v>257</v>
      </c>
      <c r="J4" s="7" t="s">
        <v>258</v>
      </c>
      <c r="K4" s="7" t="s">
        <v>259</v>
      </c>
      <c r="L4" s="7" t="s">
        <v>38</v>
      </c>
      <c r="M4" s="7"/>
      <c r="N4" s="35"/>
      <c r="O4" s="1">
        <v>1</v>
      </c>
      <c r="Q4" s="3">
        <v>45929</v>
      </c>
      <c r="R4" s="25" t="str">
        <f t="shared" ref="R4:R24" si="1">TEXT(Q4,"dddd")</f>
        <v>Monday</v>
      </c>
      <c r="S4" s="7"/>
      <c r="T4" s="7"/>
      <c r="U4" s="7" t="s">
        <v>229</v>
      </c>
      <c r="V4" s="41" t="s">
        <v>226</v>
      </c>
      <c r="W4" s="7"/>
      <c r="X4" s="7" t="s">
        <v>227</v>
      </c>
      <c r="Y4" s="7" t="s">
        <v>228</v>
      </c>
      <c r="Z4" s="7" t="s">
        <v>38</v>
      </c>
      <c r="AA4" s="7"/>
      <c r="AB4" s="7"/>
      <c r="AC4" s="7"/>
      <c r="AD4" s="41"/>
      <c r="AE4" s="35"/>
    </row>
    <row r="5" spans="1:31" ht="30" customHeight="1" x14ac:dyDescent="0.35">
      <c r="A5" s="3">
        <v>45930</v>
      </c>
      <c r="B5" s="25" t="str">
        <f t="shared" si="0"/>
        <v>Tuesday</v>
      </c>
      <c r="C5" s="7" t="s">
        <v>196</v>
      </c>
      <c r="D5" s="7" t="s">
        <v>179</v>
      </c>
      <c r="E5" s="7" t="s">
        <v>178</v>
      </c>
      <c r="F5" s="7" t="s">
        <v>260</v>
      </c>
      <c r="G5" s="7" t="s">
        <v>261</v>
      </c>
      <c r="H5" s="7" t="s">
        <v>212</v>
      </c>
      <c r="I5" s="7" t="s">
        <v>109</v>
      </c>
      <c r="J5" s="7" t="s">
        <v>182</v>
      </c>
      <c r="K5" s="7" t="s">
        <v>96</v>
      </c>
      <c r="L5" s="7" t="s">
        <v>262</v>
      </c>
      <c r="M5" s="7" t="s">
        <v>42</v>
      </c>
      <c r="N5" s="35"/>
      <c r="O5" s="1">
        <v>2</v>
      </c>
      <c r="Q5" s="3">
        <v>45930</v>
      </c>
      <c r="R5" s="25" t="str">
        <f t="shared" si="1"/>
        <v>Tuesday</v>
      </c>
      <c r="S5" s="7" t="s">
        <v>230</v>
      </c>
      <c r="T5" s="7" t="s">
        <v>233</v>
      </c>
      <c r="U5" s="7" t="s">
        <v>231</v>
      </c>
      <c r="V5" s="7" t="s">
        <v>232</v>
      </c>
      <c r="W5" s="7"/>
      <c r="X5" s="7" t="s">
        <v>182</v>
      </c>
      <c r="Y5" s="7" t="s">
        <v>182</v>
      </c>
      <c r="AB5" s="7"/>
      <c r="AC5" s="7"/>
      <c r="AD5" s="41"/>
      <c r="AE5" s="35"/>
    </row>
    <row r="6" spans="1:31" ht="30" customHeight="1" x14ac:dyDescent="0.35">
      <c r="A6" s="3">
        <v>45931</v>
      </c>
      <c r="B6" s="25" t="str">
        <f t="shared" si="0"/>
        <v>Wednesday</v>
      </c>
      <c r="C6" s="7" t="s">
        <v>170</v>
      </c>
      <c r="D6" s="7" t="s">
        <v>173</v>
      </c>
      <c r="E6" s="7" t="s">
        <v>172</v>
      </c>
      <c r="F6" s="7" t="s">
        <v>171</v>
      </c>
      <c r="G6" s="7"/>
      <c r="H6" s="7" t="s">
        <v>202</v>
      </c>
      <c r="I6" s="7" t="s">
        <v>181</v>
      </c>
      <c r="J6" s="7" t="s">
        <v>182</v>
      </c>
      <c r="K6" s="7" t="s">
        <v>182</v>
      </c>
      <c r="L6" s="7" t="s">
        <v>183</v>
      </c>
      <c r="M6" s="7"/>
      <c r="N6" s="35"/>
      <c r="O6" s="1">
        <v>3</v>
      </c>
      <c r="Q6" s="3">
        <v>45931</v>
      </c>
      <c r="R6" s="25" t="str">
        <f t="shared" si="1"/>
        <v>Wednesday</v>
      </c>
      <c r="S6" s="7"/>
      <c r="T6" s="7"/>
      <c r="U6" s="7" t="s">
        <v>229</v>
      </c>
      <c r="V6" s="41" t="s">
        <v>226</v>
      </c>
      <c r="W6" s="7"/>
      <c r="X6" s="7" t="s">
        <v>227</v>
      </c>
      <c r="Y6" s="7" t="s">
        <v>228</v>
      </c>
      <c r="Z6" s="7" t="s">
        <v>38</v>
      </c>
      <c r="AA6" s="7"/>
      <c r="AB6" s="7"/>
      <c r="AC6" s="7"/>
      <c r="AD6" s="41"/>
      <c r="AE6" s="35"/>
    </row>
    <row r="7" spans="1:31" ht="30" customHeight="1" x14ac:dyDescent="0.35">
      <c r="A7" s="3">
        <v>45933</v>
      </c>
      <c r="B7" s="25" t="str">
        <f t="shared" si="0"/>
        <v>Friday</v>
      </c>
      <c r="C7" s="7" t="s">
        <v>170</v>
      </c>
      <c r="D7" s="7" t="s">
        <v>263</v>
      </c>
      <c r="E7" s="7" t="s">
        <v>264</v>
      </c>
      <c r="F7" s="7" t="s">
        <v>265</v>
      </c>
      <c r="G7" s="7"/>
      <c r="H7" s="7" t="s">
        <v>175</v>
      </c>
      <c r="I7" s="41" t="s">
        <v>174</v>
      </c>
      <c r="J7" s="7" t="s">
        <v>197</v>
      </c>
      <c r="K7" s="7" t="s">
        <v>39</v>
      </c>
      <c r="L7" s="7" t="s">
        <v>38</v>
      </c>
      <c r="M7" s="7"/>
      <c r="N7" s="35"/>
      <c r="O7" s="1">
        <v>4</v>
      </c>
      <c r="Q7" s="3">
        <v>45933</v>
      </c>
      <c r="R7" s="25" t="str">
        <f t="shared" si="1"/>
        <v>Friday</v>
      </c>
      <c r="S7" s="7"/>
      <c r="T7" s="7"/>
      <c r="U7" s="7" t="s">
        <v>229</v>
      </c>
      <c r="V7" s="41" t="s">
        <v>226</v>
      </c>
      <c r="W7" s="7"/>
      <c r="X7" s="7" t="s">
        <v>227</v>
      </c>
      <c r="Y7" s="7" t="s">
        <v>228</v>
      </c>
      <c r="Z7" s="7" t="s">
        <v>38</v>
      </c>
      <c r="AA7" s="7"/>
      <c r="AB7" s="7"/>
      <c r="AC7" s="7"/>
      <c r="AD7" s="41"/>
      <c r="AE7" s="35"/>
    </row>
    <row r="8" spans="1:31" ht="30" customHeight="1" x14ac:dyDescent="0.35">
      <c r="A8" s="3">
        <v>45934</v>
      </c>
      <c r="B8" s="25" t="str">
        <f t="shared" si="0"/>
        <v>Saturday</v>
      </c>
      <c r="C8" s="7" t="s">
        <v>42</v>
      </c>
      <c r="D8" s="7" t="s">
        <v>42</v>
      </c>
      <c r="E8" s="7" t="s">
        <v>108</v>
      </c>
      <c r="F8" s="7"/>
      <c r="G8" s="7"/>
      <c r="H8" s="7" t="s">
        <v>212</v>
      </c>
      <c r="I8" s="7" t="s">
        <v>109</v>
      </c>
      <c r="J8" s="7" t="s">
        <v>183</v>
      </c>
      <c r="K8" s="7" t="s">
        <v>183</v>
      </c>
      <c r="L8" s="7"/>
      <c r="M8" s="7"/>
      <c r="N8" s="35"/>
      <c r="O8" s="1">
        <v>5</v>
      </c>
      <c r="Q8" s="3">
        <v>45934</v>
      </c>
      <c r="R8" s="25" t="str">
        <f t="shared" si="1"/>
        <v>Saturday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41"/>
      <c r="AE8" s="35"/>
    </row>
    <row r="9" spans="1:31" ht="30" customHeight="1" x14ac:dyDescent="0.35">
      <c r="A9" s="3">
        <v>45936</v>
      </c>
      <c r="B9" s="25" t="str">
        <f t="shared" si="0"/>
        <v>Monday</v>
      </c>
      <c r="C9" s="7" t="s">
        <v>170</v>
      </c>
      <c r="D9" s="7" t="s">
        <v>173</v>
      </c>
      <c r="E9" s="7" t="s">
        <v>172</v>
      </c>
      <c r="F9" s="7" t="s">
        <v>171</v>
      </c>
      <c r="G9" s="7"/>
      <c r="H9" s="7" t="s">
        <v>175</v>
      </c>
      <c r="I9" s="41" t="s">
        <v>174</v>
      </c>
      <c r="J9" s="7" t="s">
        <v>176</v>
      </c>
      <c r="K9" s="7" t="s">
        <v>177</v>
      </c>
      <c r="L9" s="7" t="s">
        <v>38</v>
      </c>
      <c r="M9" s="7"/>
      <c r="N9" s="35"/>
      <c r="O9" s="1">
        <v>6</v>
      </c>
      <c r="Q9" s="3">
        <v>45936</v>
      </c>
      <c r="R9" s="25" t="str">
        <f t="shared" si="1"/>
        <v>Monday</v>
      </c>
      <c r="S9" s="7"/>
      <c r="T9" s="7"/>
      <c r="U9" s="7" t="s">
        <v>229</v>
      </c>
      <c r="V9" s="41" t="s">
        <v>226</v>
      </c>
      <c r="W9" s="7"/>
      <c r="X9" s="7" t="s">
        <v>227</v>
      </c>
      <c r="Y9" s="7" t="s">
        <v>228</v>
      </c>
      <c r="Z9" s="7" t="s">
        <v>38</v>
      </c>
      <c r="AA9" s="7"/>
      <c r="AB9" s="7"/>
      <c r="AC9" s="7"/>
      <c r="AD9" s="41"/>
      <c r="AE9" s="35"/>
    </row>
    <row r="10" spans="1:31" ht="30" customHeight="1" x14ac:dyDescent="0.35">
      <c r="A10" s="3">
        <v>45937</v>
      </c>
      <c r="B10" s="25" t="str">
        <f t="shared" si="0"/>
        <v>Tuesday</v>
      </c>
      <c r="C10" s="7" t="s">
        <v>196</v>
      </c>
      <c r="D10" s="7" t="s">
        <v>179</v>
      </c>
      <c r="E10" s="7" t="s">
        <v>178</v>
      </c>
      <c r="F10" s="7" t="s">
        <v>180</v>
      </c>
      <c r="G10" s="7" t="s">
        <v>155</v>
      </c>
      <c r="H10" s="7" t="s">
        <v>202</v>
      </c>
      <c r="I10" s="7" t="s">
        <v>181</v>
      </c>
      <c r="J10" s="7" t="s">
        <v>182</v>
      </c>
      <c r="K10" s="7" t="s">
        <v>182</v>
      </c>
      <c r="L10" s="7" t="s">
        <v>262</v>
      </c>
      <c r="M10" s="7" t="s">
        <v>262</v>
      </c>
      <c r="N10" s="35"/>
      <c r="O10" s="1">
        <v>7</v>
      </c>
      <c r="P10" s="1" t="s">
        <v>266</v>
      </c>
      <c r="Q10" s="3">
        <v>45937</v>
      </c>
      <c r="R10" s="25" t="str">
        <f t="shared" si="1"/>
        <v>Tuesday</v>
      </c>
      <c r="S10" s="7" t="s">
        <v>230</v>
      </c>
      <c r="T10" s="7" t="s">
        <v>233</v>
      </c>
      <c r="U10" s="7" t="s">
        <v>231</v>
      </c>
      <c r="V10" s="7" t="s">
        <v>232</v>
      </c>
      <c r="W10" s="7"/>
      <c r="X10" s="7" t="s">
        <v>182</v>
      </c>
      <c r="Y10" s="7" t="s">
        <v>182</v>
      </c>
      <c r="AB10" s="7"/>
      <c r="AC10" s="7"/>
      <c r="AD10" s="41"/>
      <c r="AE10" s="35"/>
    </row>
    <row r="11" spans="1:31" ht="30" customHeight="1" x14ac:dyDescent="0.35">
      <c r="A11" s="3">
        <v>45938</v>
      </c>
      <c r="B11" s="25" t="str">
        <f t="shared" si="0"/>
        <v>Wednesday</v>
      </c>
      <c r="C11" s="7" t="s">
        <v>170</v>
      </c>
      <c r="D11" s="7" t="s">
        <v>173</v>
      </c>
      <c r="E11" s="7" t="s">
        <v>172</v>
      </c>
      <c r="F11" s="7" t="s">
        <v>171</v>
      </c>
      <c r="G11" s="7"/>
      <c r="H11" s="7" t="s">
        <v>202</v>
      </c>
      <c r="I11" s="7" t="s">
        <v>181</v>
      </c>
      <c r="J11" s="7" t="s">
        <v>182</v>
      </c>
      <c r="K11" s="7" t="s">
        <v>182</v>
      </c>
      <c r="L11" s="7" t="s">
        <v>183</v>
      </c>
      <c r="M11" s="7"/>
      <c r="N11" s="35"/>
      <c r="O11" s="1">
        <v>8</v>
      </c>
      <c r="P11" s="1" t="s">
        <v>266</v>
      </c>
      <c r="Q11" s="3">
        <v>45938</v>
      </c>
      <c r="R11" s="25" t="str">
        <f t="shared" si="1"/>
        <v>Wednesday</v>
      </c>
      <c r="S11" s="7"/>
      <c r="T11" s="7"/>
      <c r="U11" s="7" t="s">
        <v>229</v>
      </c>
      <c r="V11" s="41" t="s">
        <v>226</v>
      </c>
      <c r="W11" s="7"/>
      <c r="X11" s="7" t="s">
        <v>227</v>
      </c>
      <c r="Y11" s="7" t="s">
        <v>228</v>
      </c>
      <c r="Z11" s="7" t="s">
        <v>38</v>
      </c>
      <c r="AA11" s="7"/>
      <c r="AB11" s="7"/>
      <c r="AC11" s="7"/>
      <c r="AD11" s="41"/>
      <c r="AE11" s="35"/>
    </row>
    <row r="12" spans="1:31" ht="30" customHeight="1" x14ac:dyDescent="0.35">
      <c r="A12" s="3">
        <v>45939</v>
      </c>
      <c r="B12" s="25" t="str">
        <f t="shared" si="0"/>
        <v>Thursday</v>
      </c>
      <c r="C12" s="7" t="s">
        <v>196</v>
      </c>
      <c r="D12" s="7" t="s">
        <v>179</v>
      </c>
      <c r="E12" s="7" t="s">
        <v>178</v>
      </c>
      <c r="F12" s="7" t="s">
        <v>180</v>
      </c>
      <c r="G12" s="7"/>
      <c r="H12" s="7" t="s">
        <v>175</v>
      </c>
      <c r="I12" s="41" t="s">
        <v>174</v>
      </c>
      <c r="J12" s="7" t="s">
        <v>176</v>
      </c>
      <c r="K12" s="7" t="s">
        <v>177</v>
      </c>
      <c r="L12" s="7" t="s">
        <v>38</v>
      </c>
      <c r="M12" s="7"/>
      <c r="N12" s="35"/>
      <c r="O12" s="1">
        <v>9</v>
      </c>
      <c r="P12" s="1" t="s">
        <v>267</v>
      </c>
      <c r="Q12" s="3">
        <v>45939</v>
      </c>
      <c r="R12" s="25" t="str">
        <f t="shared" si="1"/>
        <v>Thursday</v>
      </c>
      <c r="S12" s="7" t="s">
        <v>230</v>
      </c>
      <c r="T12" s="7" t="s">
        <v>233</v>
      </c>
      <c r="U12" s="7" t="s">
        <v>231</v>
      </c>
      <c r="V12" s="7" t="s">
        <v>232</v>
      </c>
      <c r="W12" s="7"/>
      <c r="X12" s="7" t="s">
        <v>182</v>
      </c>
      <c r="Y12" s="7" t="s">
        <v>182</v>
      </c>
      <c r="AB12" s="7"/>
      <c r="AC12" s="7"/>
      <c r="AD12" s="41"/>
      <c r="AE12" s="35"/>
    </row>
    <row r="13" spans="1:31" ht="30" customHeight="1" x14ac:dyDescent="0.35">
      <c r="A13" s="3">
        <v>45940</v>
      </c>
      <c r="B13" s="25" t="str">
        <f t="shared" si="0"/>
        <v>Friday</v>
      </c>
      <c r="C13" s="7" t="s">
        <v>170</v>
      </c>
      <c r="D13" s="7" t="s">
        <v>173</v>
      </c>
      <c r="E13" s="7" t="s">
        <v>172</v>
      </c>
      <c r="F13" s="7" t="s">
        <v>171</v>
      </c>
      <c r="G13" s="7"/>
      <c r="H13" s="7" t="s">
        <v>175</v>
      </c>
      <c r="I13" s="41" t="s">
        <v>174</v>
      </c>
      <c r="J13" s="7" t="s">
        <v>197</v>
      </c>
      <c r="K13" s="7" t="s">
        <v>39</v>
      </c>
      <c r="L13" s="7" t="s">
        <v>38</v>
      </c>
      <c r="M13" s="7"/>
      <c r="N13" s="35"/>
      <c r="O13" s="1">
        <v>10</v>
      </c>
      <c r="Q13" s="3">
        <v>45940</v>
      </c>
      <c r="R13" s="25" t="str">
        <f t="shared" si="1"/>
        <v>Friday</v>
      </c>
      <c r="S13" s="7"/>
      <c r="T13" s="7"/>
      <c r="U13" s="7" t="s">
        <v>229</v>
      </c>
      <c r="V13" s="41" t="s">
        <v>226</v>
      </c>
      <c r="W13" s="7"/>
      <c r="X13" s="7" t="s">
        <v>268</v>
      </c>
      <c r="Y13" s="7" t="s">
        <v>39</v>
      </c>
      <c r="Z13" s="7" t="s">
        <v>38</v>
      </c>
      <c r="AA13" s="7"/>
      <c r="AB13" s="7"/>
      <c r="AC13" s="7"/>
      <c r="AD13" s="41"/>
      <c r="AE13" s="35"/>
    </row>
    <row r="14" spans="1:31" ht="30" customHeight="1" x14ac:dyDescent="0.35">
      <c r="A14" s="3">
        <v>45941</v>
      </c>
      <c r="B14" s="25" t="str">
        <f t="shared" si="0"/>
        <v>Saturday</v>
      </c>
      <c r="C14" s="7" t="s">
        <v>262</v>
      </c>
      <c r="D14" s="7" t="s">
        <v>262</v>
      </c>
      <c r="E14" s="7" t="s">
        <v>108</v>
      </c>
      <c r="F14" s="8"/>
      <c r="G14" s="8"/>
      <c r="H14" s="7" t="s">
        <v>212</v>
      </c>
      <c r="I14" s="7" t="s">
        <v>109</v>
      </c>
      <c r="J14" s="7" t="s">
        <v>183</v>
      </c>
      <c r="K14" s="7" t="s">
        <v>183</v>
      </c>
      <c r="L14" s="8"/>
      <c r="M14" s="8"/>
      <c r="N14" s="8"/>
      <c r="Q14" s="3">
        <v>45941</v>
      </c>
      <c r="R14" s="25" t="str">
        <f t="shared" si="1"/>
        <v>Saturday</v>
      </c>
      <c r="S14" s="7"/>
      <c r="T14" s="7"/>
      <c r="U14" s="7"/>
      <c r="V14" s="8"/>
      <c r="W14" s="8"/>
      <c r="X14" s="7"/>
      <c r="Y14" s="7"/>
      <c r="Z14" s="7"/>
      <c r="AA14" s="7"/>
      <c r="AB14" s="8"/>
      <c r="AC14" s="8"/>
      <c r="AD14" s="8"/>
      <c r="AE14" s="8"/>
    </row>
    <row r="15" spans="1:31" ht="30" customHeight="1" x14ac:dyDescent="0.35">
      <c r="A15" s="3">
        <v>45943</v>
      </c>
      <c r="B15" s="25" t="str">
        <f t="shared" si="0"/>
        <v>Monday</v>
      </c>
      <c r="C15" s="7" t="s">
        <v>170</v>
      </c>
      <c r="D15" s="7" t="s">
        <v>173</v>
      </c>
      <c r="E15" s="7" t="s">
        <v>172</v>
      </c>
      <c r="F15" s="7" t="s">
        <v>171</v>
      </c>
      <c r="G15" s="7"/>
      <c r="H15" s="7" t="s">
        <v>175</v>
      </c>
      <c r="I15" s="41" t="s">
        <v>174</v>
      </c>
      <c r="J15" s="7" t="s">
        <v>176</v>
      </c>
      <c r="K15" s="7" t="s">
        <v>177</v>
      </c>
      <c r="L15" s="7" t="s">
        <v>38</v>
      </c>
      <c r="M15" s="7" t="s">
        <v>96</v>
      </c>
      <c r="N15" s="35"/>
      <c r="O15" s="1">
        <v>2</v>
      </c>
      <c r="Q15" s="3">
        <v>45943</v>
      </c>
      <c r="R15" s="25" t="str">
        <f t="shared" si="1"/>
        <v>Monday</v>
      </c>
      <c r="S15" s="7" t="s">
        <v>230</v>
      </c>
      <c r="T15" s="7" t="s">
        <v>233</v>
      </c>
      <c r="U15" s="7" t="s">
        <v>231</v>
      </c>
      <c r="V15" s="7" t="s">
        <v>232</v>
      </c>
      <c r="W15" s="7"/>
      <c r="X15" s="7" t="s">
        <v>182</v>
      </c>
      <c r="Y15" s="7" t="s">
        <v>182</v>
      </c>
      <c r="AB15" s="7"/>
      <c r="AC15" s="7"/>
      <c r="AD15" s="41"/>
      <c r="AE15" s="35"/>
    </row>
    <row r="16" spans="1:31" ht="30" customHeight="1" x14ac:dyDescent="0.35">
      <c r="A16" s="3">
        <v>45944</v>
      </c>
      <c r="B16" s="25" t="str">
        <f t="shared" si="0"/>
        <v>Tuesday</v>
      </c>
      <c r="C16" s="7" t="s">
        <v>269</v>
      </c>
      <c r="D16" s="7" t="s">
        <v>270</v>
      </c>
      <c r="E16" s="7" t="s">
        <v>178</v>
      </c>
      <c r="F16" s="7" t="s">
        <v>180</v>
      </c>
      <c r="G16" s="7" t="s">
        <v>155</v>
      </c>
      <c r="H16" s="7" t="s">
        <v>202</v>
      </c>
      <c r="I16" s="7" t="s">
        <v>181</v>
      </c>
      <c r="J16" s="7" t="s">
        <v>182</v>
      </c>
      <c r="K16" s="7" t="s">
        <v>182</v>
      </c>
      <c r="L16" s="7" t="s">
        <v>42</v>
      </c>
      <c r="M16" s="7" t="s">
        <v>42</v>
      </c>
      <c r="N16" s="35"/>
      <c r="O16" s="1">
        <v>3</v>
      </c>
      <c r="Q16" s="3">
        <v>45944</v>
      </c>
      <c r="R16" s="25" t="str">
        <f t="shared" si="1"/>
        <v>Tuesday</v>
      </c>
      <c r="S16" s="7"/>
      <c r="T16" s="7"/>
      <c r="U16" s="7" t="s">
        <v>229</v>
      </c>
      <c r="V16" s="41" t="s">
        <v>226</v>
      </c>
      <c r="W16" s="7"/>
      <c r="X16" s="7" t="s">
        <v>227</v>
      </c>
      <c r="Y16" s="7" t="s">
        <v>228</v>
      </c>
      <c r="Z16" s="7" t="s">
        <v>38</v>
      </c>
      <c r="AA16" s="7"/>
      <c r="AB16" s="7"/>
      <c r="AC16" s="7"/>
      <c r="AD16" s="41"/>
      <c r="AE16" s="35"/>
    </row>
    <row r="17" spans="1:31" ht="30" customHeight="1" x14ac:dyDescent="0.35">
      <c r="A17" s="3">
        <v>45945</v>
      </c>
      <c r="B17" s="25" t="str">
        <f t="shared" si="0"/>
        <v>Wednesday</v>
      </c>
      <c r="C17" s="7" t="s">
        <v>170</v>
      </c>
      <c r="D17" s="7" t="s">
        <v>173</v>
      </c>
      <c r="E17" s="7" t="s">
        <v>172</v>
      </c>
      <c r="F17" s="7" t="s">
        <v>171</v>
      </c>
      <c r="G17" s="7"/>
      <c r="H17" s="7" t="s">
        <v>202</v>
      </c>
      <c r="I17" s="7" t="s">
        <v>181</v>
      </c>
      <c r="J17" s="7" t="s">
        <v>182</v>
      </c>
      <c r="K17" s="7" t="s">
        <v>182</v>
      </c>
      <c r="L17" s="7" t="s">
        <v>96</v>
      </c>
      <c r="M17" s="7" t="s">
        <v>96</v>
      </c>
      <c r="N17" s="35"/>
      <c r="Q17" s="3">
        <v>45945</v>
      </c>
      <c r="R17" s="25" t="str">
        <f t="shared" si="1"/>
        <v>Wednesday</v>
      </c>
      <c r="S17" s="7" t="s">
        <v>230</v>
      </c>
      <c r="T17" s="7" t="s">
        <v>233</v>
      </c>
      <c r="U17" s="7" t="s">
        <v>231</v>
      </c>
      <c r="V17" s="7" t="s">
        <v>232</v>
      </c>
      <c r="W17" s="7"/>
      <c r="X17" s="7" t="s">
        <v>182</v>
      </c>
      <c r="Y17" s="7" t="s">
        <v>182</v>
      </c>
      <c r="AB17" s="7"/>
      <c r="AC17" s="7"/>
      <c r="AD17" s="41"/>
      <c r="AE17" s="35"/>
    </row>
    <row r="18" spans="1:31" ht="30" customHeight="1" x14ac:dyDescent="0.35">
      <c r="A18" s="3">
        <v>45946</v>
      </c>
      <c r="B18" s="25" t="str">
        <f t="shared" si="0"/>
        <v>Thursday</v>
      </c>
      <c r="C18" s="7" t="s">
        <v>270</v>
      </c>
      <c r="D18" s="7" t="s">
        <v>269</v>
      </c>
      <c r="E18" s="7" t="s">
        <v>178</v>
      </c>
      <c r="F18" s="7" t="s">
        <v>180</v>
      </c>
      <c r="G18" s="7"/>
      <c r="H18" s="7" t="s">
        <v>175</v>
      </c>
      <c r="I18" s="41" t="s">
        <v>174</v>
      </c>
      <c r="J18" s="7" t="s">
        <v>176</v>
      </c>
      <c r="K18" s="7" t="s">
        <v>177</v>
      </c>
      <c r="L18" s="7" t="s">
        <v>38</v>
      </c>
      <c r="M18" s="7" t="s">
        <v>183</v>
      </c>
      <c r="N18" s="35" t="s">
        <v>183</v>
      </c>
      <c r="O18" s="1">
        <v>4</v>
      </c>
      <c r="Q18" s="3">
        <v>45946</v>
      </c>
      <c r="R18" s="25" t="str">
        <f t="shared" si="1"/>
        <v>Thursday</v>
      </c>
      <c r="S18" s="7"/>
      <c r="T18" s="7"/>
      <c r="U18" s="7" t="s">
        <v>229</v>
      </c>
      <c r="V18" s="41" t="s">
        <v>226</v>
      </c>
      <c r="W18" s="7"/>
      <c r="X18" s="7" t="s">
        <v>227</v>
      </c>
      <c r="Y18" s="7" t="s">
        <v>228</v>
      </c>
      <c r="Z18" s="7" t="s">
        <v>38</v>
      </c>
      <c r="AA18" s="7"/>
      <c r="AB18" s="7"/>
      <c r="AC18" s="7"/>
      <c r="AD18" s="41"/>
      <c r="AE18" s="35"/>
    </row>
    <row r="19" spans="1:31" ht="30" customHeight="1" x14ac:dyDescent="0.35">
      <c r="A19" s="3">
        <v>45947</v>
      </c>
      <c r="B19" s="25" t="str">
        <f t="shared" si="0"/>
        <v>Friday</v>
      </c>
      <c r="C19" s="7" t="s">
        <v>170</v>
      </c>
      <c r="D19" s="7" t="s">
        <v>173</v>
      </c>
      <c r="E19" s="7" t="s">
        <v>172</v>
      </c>
      <c r="F19" s="7" t="s">
        <v>171</v>
      </c>
      <c r="G19" s="7"/>
      <c r="H19" s="7" t="s">
        <v>17</v>
      </c>
      <c r="I19" s="41" t="s">
        <v>271</v>
      </c>
      <c r="J19" s="7" t="s">
        <v>197</v>
      </c>
      <c r="K19" s="7" t="s">
        <v>39</v>
      </c>
      <c r="L19" s="7" t="s">
        <v>38</v>
      </c>
      <c r="M19" s="7" t="s">
        <v>183</v>
      </c>
      <c r="N19" s="35"/>
      <c r="O19" s="1">
        <v>5</v>
      </c>
      <c r="Q19" s="3">
        <v>45947</v>
      </c>
      <c r="R19" s="25" t="str">
        <f t="shared" si="1"/>
        <v>Friday</v>
      </c>
      <c r="S19" s="7" t="s">
        <v>230</v>
      </c>
      <c r="T19" s="7" t="s">
        <v>233</v>
      </c>
      <c r="U19" s="7" t="s">
        <v>231</v>
      </c>
      <c r="V19" s="7" t="s">
        <v>232</v>
      </c>
      <c r="W19" s="7"/>
      <c r="X19" s="7" t="s">
        <v>182</v>
      </c>
      <c r="Y19" s="7" t="s">
        <v>182</v>
      </c>
      <c r="AB19" s="7"/>
      <c r="AC19" s="7"/>
      <c r="AD19" s="41"/>
      <c r="AE19" s="35"/>
    </row>
    <row r="20" spans="1:31" ht="30" customHeight="1" x14ac:dyDescent="0.35">
      <c r="A20" s="3">
        <v>45957</v>
      </c>
      <c r="B20" s="25" t="str">
        <f t="shared" si="0"/>
        <v>Monday</v>
      </c>
      <c r="C20" s="7" t="s">
        <v>170</v>
      </c>
      <c r="D20" s="7" t="s">
        <v>173</v>
      </c>
      <c r="E20" s="7" t="s">
        <v>172</v>
      </c>
      <c r="F20" s="7" t="s">
        <v>171</v>
      </c>
      <c r="G20" s="7"/>
      <c r="H20" s="7" t="s">
        <v>175</v>
      </c>
      <c r="I20" s="41" t="s">
        <v>174</v>
      </c>
      <c r="J20" s="7" t="s">
        <v>176</v>
      </c>
      <c r="K20" s="7" t="s">
        <v>177</v>
      </c>
      <c r="L20" s="7" t="s">
        <v>38</v>
      </c>
      <c r="M20" s="7"/>
      <c r="N20" s="35"/>
      <c r="Q20" s="3">
        <v>45957</v>
      </c>
      <c r="R20" s="25" t="str">
        <f t="shared" si="1"/>
        <v>Monday</v>
      </c>
      <c r="S20" s="7" t="s">
        <v>230</v>
      </c>
      <c r="T20" s="7" t="s">
        <v>233</v>
      </c>
      <c r="U20" s="7" t="s">
        <v>231</v>
      </c>
      <c r="V20" s="7" t="s">
        <v>232</v>
      </c>
      <c r="W20" s="7"/>
      <c r="X20" s="7" t="s">
        <v>182</v>
      </c>
      <c r="Y20" s="7" t="s">
        <v>182</v>
      </c>
      <c r="AB20" s="7"/>
      <c r="AC20" s="7"/>
      <c r="AD20" s="41"/>
      <c r="AE20" s="35"/>
    </row>
    <row r="21" spans="1:31" ht="30" customHeight="1" x14ac:dyDescent="0.35">
      <c r="A21" s="3">
        <v>45958</v>
      </c>
      <c r="B21" s="25" t="str">
        <f t="shared" si="0"/>
        <v>Tuesday</v>
      </c>
      <c r="C21" s="7" t="s">
        <v>196</v>
      </c>
      <c r="D21" s="7" t="s">
        <v>179</v>
      </c>
      <c r="E21" s="7" t="s">
        <v>178</v>
      </c>
      <c r="F21" s="7" t="s">
        <v>180</v>
      </c>
      <c r="G21" s="7" t="s">
        <v>155</v>
      </c>
      <c r="H21" s="7" t="s">
        <v>202</v>
      </c>
      <c r="I21" s="41" t="s">
        <v>181</v>
      </c>
      <c r="J21" s="7" t="s">
        <v>182</v>
      </c>
      <c r="K21" s="7" t="s">
        <v>182</v>
      </c>
      <c r="L21" s="7" t="s">
        <v>42</v>
      </c>
      <c r="M21" s="7" t="s">
        <v>42</v>
      </c>
      <c r="N21" s="35"/>
      <c r="Q21" s="3">
        <v>45958</v>
      </c>
      <c r="R21" s="25" t="str">
        <f t="shared" si="1"/>
        <v>Tuesday</v>
      </c>
      <c r="S21" s="7"/>
      <c r="T21" s="7"/>
      <c r="U21" s="7" t="s">
        <v>229</v>
      </c>
      <c r="V21" s="41" t="s">
        <v>226</v>
      </c>
      <c r="W21" s="7"/>
      <c r="X21" s="7" t="s">
        <v>227</v>
      </c>
      <c r="Y21" s="7" t="s">
        <v>228</v>
      </c>
      <c r="Z21" s="7" t="s">
        <v>38</v>
      </c>
      <c r="AA21" s="7"/>
      <c r="AB21" s="7"/>
      <c r="AC21" s="7"/>
      <c r="AD21" s="41"/>
      <c r="AE21" s="35"/>
    </row>
    <row r="22" spans="1:31" ht="30" customHeight="1" x14ac:dyDescent="0.35">
      <c r="A22" s="3">
        <v>45959</v>
      </c>
      <c r="B22" s="25" t="str">
        <f t="shared" si="0"/>
        <v>Wednesday</v>
      </c>
      <c r="C22" s="7" t="s">
        <v>170</v>
      </c>
      <c r="D22" s="7" t="s">
        <v>173</v>
      </c>
      <c r="E22" s="7" t="s">
        <v>172</v>
      </c>
      <c r="F22" s="7" t="s">
        <v>171</v>
      </c>
      <c r="G22" s="7"/>
      <c r="H22" s="7" t="s">
        <v>202</v>
      </c>
      <c r="I22" s="41" t="s">
        <v>181</v>
      </c>
      <c r="J22" s="7" t="s">
        <v>182</v>
      </c>
      <c r="K22" s="7" t="s">
        <v>182</v>
      </c>
      <c r="L22" s="7" t="s">
        <v>96</v>
      </c>
      <c r="M22" s="7" t="s">
        <v>96</v>
      </c>
      <c r="N22" s="35"/>
      <c r="Q22" s="3">
        <v>45959</v>
      </c>
      <c r="R22" s="25" t="str">
        <f t="shared" si="1"/>
        <v>Wednesday</v>
      </c>
      <c r="S22" s="7" t="s">
        <v>230</v>
      </c>
      <c r="T22" s="7" t="s">
        <v>233</v>
      </c>
      <c r="U22" s="7" t="s">
        <v>231</v>
      </c>
      <c r="V22" s="7" t="s">
        <v>232</v>
      </c>
      <c r="W22" s="7"/>
      <c r="X22" s="7" t="s">
        <v>182</v>
      </c>
      <c r="Y22" s="7" t="s">
        <v>182</v>
      </c>
      <c r="AB22" s="7"/>
      <c r="AC22" s="7"/>
      <c r="AD22" s="41"/>
      <c r="AE22" s="35"/>
    </row>
    <row r="23" spans="1:31" ht="30" customHeight="1" x14ac:dyDescent="0.35">
      <c r="A23" s="3">
        <v>45960</v>
      </c>
      <c r="B23" s="25" t="str">
        <f t="shared" si="0"/>
        <v>Thursday</v>
      </c>
      <c r="C23" s="7" t="s">
        <v>196</v>
      </c>
      <c r="D23" s="7" t="s">
        <v>179</v>
      </c>
      <c r="E23" s="7" t="s">
        <v>178</v>
      </c>
      <c r="F23" s="7" t="s">
        <v>180</v>
      </c>
      <c r="G23" s="7"/>
      <c r="H23" s="7" t="s">
        <v>175</v>
      </c>
      <c r="I23" s="41" t="s">
        <v>174</v>
      </c>
      <c r="J23" s="7" t="s">
        <v>176</v>
      </c>
      <c r="K23" s="7" t="s">
        <v>177</v>
      </c>
      <c r="L23" s="7" t="s">
        <v>38</v>
      </c>
      <c r="M23" s="7" t="s">
        <v>183</v>
      </c>
      <c r="N23" s="35"/>
      <c r="Q23" s="3">
        <v>45960</v>
      </c>
      <c r="R23" s="25" t="str">
        <f t="shared" si="1"/>
        <v>Thursday</v>
      </c>
      <c r="S23" s="7"/>
      <c r="T23" s="7"/>
      <c r="U23" s="7" t="s">
        <v>229</v>
      </c>
      <c r="V23" s="41" t="s">
        <v>226</v>
      </c>
      <c r="W23" s="7"/>
      <c r="X23" s="7" t="s">
        <v>227</v>
      </c>
      <c r="Y23" s="7" t="s">
        <v>228</v>
      </c>
      <c r="Z23" s="7" t="s">
        <v>38</v>
      </c>
      <c r="AA23" s="7"/>
      <c r="AB23" s="7"/>
      <c r="AC23" s="7"/>
      <c r="AD23" s="41"/>
      <c r="AE23" s="35"/>
    </row>
    <row r="24" spans="1:31" ht="30" customHeight="1" x14ac:dyDescent="0.35">
      <c r="A24" s="3">
        <v>45961</v>
      </c>
      <c r="B24" s="25" t="str">
        <f t="shared" si="0"/>
        <v>Friday</v>
      </c>
      <c r="C24" s="7" t="s">
        <v>170</v>
      </c>
      <c r="D24" s="7" t="s">
        <v>173</v>
      </c>
      <c r="E24" s="7" t="s">
        <v>172</v>
      </c>
      <c r="F24" s="7" t="s">
        <v>171</v>
      </c>
      <c r="G24" s="7"/>
      <c r="H24" s="7" t="s">
        <v>175</v>
      </c>
      <c r="I24" s="41" t="s">
        <v>174</v>
      </c>
      <c r="J24" s="7" t="s">
        <v>197</v>
      </c>
      <c r="K24" s="7" t="s">
        <v>39</v>
      </c>
      <c r="L24" s="7" t="s">
        <v>38</v>
      </c>
      <c r="M24" s="7"/>
      <c r="N24" s="35"/>
      <c r="Q24" s="3">
        <v>45961</v>
      </c>
      <c r="R24" s="25" t="str">
        <f t="shared" si="1"/>
        <v>Friday</v>
      </c>
      <c r="S24" s="7" t="s">
        <v>230</v>
      </c>
      <c r="T24" s="7" t="s">
        <v>233</v>
      </c>
      <c r="U24" s="7" t="s">
        <v>231</v>
      </c>
      <c r="V24" s="7" t="s">
        <v>232</v>
      </c>
      <c r="W24" s="7"/>
      <c r="X24" s="7" t="s">
        <v>182</v>
      </c>
      <c r="Y24" s="7" t="s">
        <v>182</v>
      </c>
      <c r="AB24" s="7"/>
      <c r="AC24" s="7"/>
      <c r="AD24" s="41"/>
      <c r="AE24" s="35"/>
    </row>
    <row r="25" spans="1:31" ht="30" customHeight="1" x14ac:dyDescent="0.35">
      <c r="A25" s="3">
        <v>45962</v>
      </c>
      <c r="B25" s="25" t="str">
        <f t="shared" ref="B25:B51" si="2">TEXT(A25,"dddd")</f>
        <v>Saturday</v>
      </c>
      <c r="C25" s="7" t="s">
        <v>196</v>
      </c>
      <c r="D25" s="7" t="s">
        <v>179</v>
      </c>
      <c r="E25" s="7" t="s">
        <v>230</v>
      </c>
      <c r="F25" s="7" t="s">
        <v>180</v>
      </c>
      <c r="G25" s="7" t="s">
        <v>155</v>
      </c>
      <c r="H25" s="7" t="s">
        <v>202</v>
      </c>
      <c r="I25" s="41" t="s">
        <v>181</v>
      </c>
      <c r="J25" s="7" t="s">
        <v>96</v>
      </c>
      <c r="K25" s="7" t="s">
        <v>183</v>
      </c>
      <c r="L25" s="7" t="s">
        <v>183</v>
      </c>
      <c r="M25" s="7"/>
      <c r="N25" s="35"/>
      <c r="O25" s="1">
        <v>21</v>
      </c>
      <c r="Q25" s="3">
        <v>45962</v>
      </c>
      <c r="R25" s="25" t="str">
        <f t="shared" ref="R25:R53" si="3">TEXT(Q25,"dddd")</f>
        <v>Saturday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30" customHeight="1" x14ac:dyDescent="0.35">
      <c r="A26" s="3">
        <v>45964</v>
      </c>
      <c r="B26" s="25" t="str">
        <f t="shared" si="2"/>
        <v>Monday</v>
      </c>
      <c r="C26" s="7" t="s">
        <v>170</v>
      </c>
      <c r="D26" s="7" t="s">
        <v>173</v>
      </c>
      <c r="E26" s="7" t="s">
        <v>172</v>
      </c>
      <c r="F26" s="7" t="s">
        <v>171</v>
      </c>
      <c r="G26" s="7"/>
      <c r="H26" s="7" t="s">
        <v>175</v>
      </c>
      <c r="I26" s="41" t="s">
        <v>174</v>
      </c>
      <c r="J26" s="7" t="s">
        <v>176</v>
      </c>
      <c r="K26" s="7" t="s">
        <v>177</v>
      </c>
      <c r="L26" s="7" t="s">
        <v>38</v>
      </c>
      <c r="M26" s="7" t="s">
        <v>96</v>
      </c>
      <c r="N26" s="35"/>
      <c r="O26" s="1">
        <v>22</v>
      </c>
      <c r="Q26" s="3">
        <v>45964</v>
      </c>
      <c r="R26" s="25" t="str">
        <f t="shared" si="3"/>
        <v>Monday</v>
      </c>
      <c r="S26" s="7" t="s">
        <v>230</v>
      </c>
      <c r="T26" s="7" t="s">
        <v>233</v>
      </c>
      <c r="U26" s="7" t="s">
        <v>231</v>
      </c>
      <c r="V26" s="7" t="s">
        <v>232</v>
      </c>
      <c r="W26" s="7"/>
      <c r="X26" s="7" t="s">
        <v>182</v>
      </c>
      <c r="Y26" s="7" t="s">
        <v>182</v>
      </c>
      <c r="AB26" s="7"/>
      <c r="AC26" s="7"/>
      <c r="AD26" s="41"/>
      <c r="AE26" s="7"/>
    </row>
    <row r="27" spans="1:31" ht="30" customHeight="1" x14ac:dyDescent="0.35">
      <c r="A27" s="3">
        <v>45965</v>
      </c>
      <c r="B27" s="25" t="str">
        <f t="shared" si="2"/>
        <v>Tuesday</v>
      </c>
      <c r="C27" s="7" t="s">
        <v>196</v>
      </c>
      <c r="D27" s="7" t="s">
        <v>179</v>
      </c>
      <c r="E27" s="7" t="s">
        <v>230</v>
      </c>
      <c r="F27" s="7" t="s">
        <v>180</v>
      </c>
      <c r="G27" s="7" t="s">
        <v>155</v>
      </c>
      <c r="H27" s="7" t="s">
        <v>202</v>
      </c>
      <c r="I27" s="7" t="s">
        <v>181</v>
      </c>
      <c r="J27" s="7" t="s">
        <v>182</v>
      </c>
      <c r="K27" s="7" t="s">
        <v>182</v>
      </c>
      <c r="L27" s="7" t="s">
        <v>42</v>
      </c>
      <c r="M27" s="7" t="s">
        <v>42</v>
      </c>
      <c r="N27" s="35"/>
      <c r="O27" s="1">
        <v>23</v>
      </c>
      <c r="Q27" s="3">
        <v>45965</v>
      </c>
      <c r="R27" s="25" t="str">
        <f t="shared" si="3"/>
        <v>Tuesday</v>
      </c>
      <c r="S27" s="7"/>
      <c r="T27" s="7"/>
      <c r="U27" s="7" t="s">
        <v>229</v>
      </c>
      <c r="V27" s="41" t="s">
        <v>226</v>
      </c>
      <c r="W27" s="7"/>
      <c r="X27" s="7" t="s">
        <v>227</v>
      </c>
      <c r="Y27" s="7" t="s">
        <v>228</v>
      </c>
      <c r="Z27" s="7" t="s">
        <v>38</v>
      </c>
      <c r="AA27" s="7"/>
      <c r="AB27" s="7"/>
      <c r="AC27" s="7"/>
      <c r="AD27" s="41"/>
      <c r="AE27" s="7"/>
    </row>
    <row r="28" spans="1:31" ht="30" customHeight="1" x14ac:dyDescent="0.35">
      <c r="A28" s="3">
        <v>45967</v>
      </c>
      <c r="B28" s="25" t="str">
        <f t="shared" si="2"/>
        <v>Thursday</v>
      </c>
      <c r="C28" s="7" t="s">
        <v>196</v>
      </c>
      <c r="D28" s="7" t="s">
        <v>179</v>
      </c>
      <c r="E28" s="7" t="s">
        <v>230</v>
      </c>
      <c r="F28" s="7" t="s">
        <v>180</v>
      </c>
      <c r="G28" s="7"/>
      <c r="H28" s="7" t="s">
        <v>175</v>
      </c>
      <c r="I28" s="41" t="s">
        <v>174</v>
      </c>
      <c r="J28" s="7" t="s">
        <v>176</v>
      </c>
      <c r="K28" s="7" t="s">
        <v>177</v>
      </c>
      <c r="L28" s="7" t="s">
        <v>38</v>
      </c>
      <c r="M28" s="7" t="s">
        <v>96</v>
      </c>
      <c r="N28" s="7" t="s">
        <v>96</v>
      </c>
      <c r="O28" s="1">
        <v>24</v>
      </c>
      <c r="Q28" s="3">
        <v>45967</v>
      </c>
      <c r="R28" s="25" t="str">
        <f t="shared" si="3"/>
        <v>Thursday</v>
      </c>
      <c r="S28" s="7"/>
      <c r="T28" s="7"/>
      <c r="U28" s="7" t="s">
        <v>229</v>
      </c>
      <c r="V28" s="41" t="s">
        <v>226</v>
      </c>
      <c r="W28" s="7"/>
      <c r="X28" s="7" t="s">
        <v>227</v>
      </c>
      <c r="Y28" s="7" t="s">
        <v>228</v>
      </c>
      <c r="Z28" s="7" t="s">
        <v>38</v>
      </c>
      <c r="AA28" s="7"/>
      <c r="AB28" s="7"/>
      <c r="AC28" s="7"/>
      <c r="AD28" s="41"/>
      <c r="AE28" s="7"/>
    </row>
    <row r="29" spans="1:31" ht="30" customHeight="1" x14ac:dyDescent="0.35">
      <c r="A29" s="3">
        <v>45968</v>
      </c>
      <c r="B29" s="25" t="str">
        <f t="shared" si="2"/>
        <v>Friday</v>
      </c>
      <c r="C29" s="7" t="s">
        <v>170</v>
      </c>
      <c r="D29" s="7" t="s">
        <v>173</v>
      </c>
      <c r="E29" s="7" t="s">
        <v>172</v>
      </c>
      <c r="F29" s="7" t="s">
        <v>171</v>
      </c>
      <c r="G29" s="7"/>
      <c r="H29" s="7" t="s">
        <v>175</v>
      </c>
      <c r="I29" s="41" t="s">
        <v>174</v>
      </c>
      <c r="J29" s="45" t="s">
        <v>176</v>
      </c>
      <c r="K29" s="45" t="s">
        <v>177</v>
      </c>
      <c r="L29" s="7" t="s">
        <v>38</v>
      </c>
      <c r="M29" s="7" t="s">
        <v>183</v>
      </c>
      <c r="N29" s="7"/>
      <c r="O29" s="1">
        <v>25</v>
      </c>
      <c r="Q29" s="3">
        <v>45968</v>
      </c>
      <c r="R29" s="25" t="str">
        <f t="shared" si="3"/>
        <v>Friday</v>
      </c>
      <c r="S29" s="7" t="s">
        <v>230</v>
      </c>
      <c r="T29" s="7" t="s">
        <v>233</v>
      </c>
      <c r="U29" s="7" t="s">
        <v>231</v>
      </c>
      <c r="V29" s="7" t="s">
        <v>232</v>
      </c>
      <c r="W29" s="7"/>
      <c r="X29" s="7" t="s">
        <v>182</v>
      </c>
      <c r="Y29" s="7" t="s">
        <v>182</v>
      </c>
      <c r="AB29" s="7"/>
      <c r="AC29" s="7"/>
      <c r="AD29" s="41"/>
      <c r="AE29" s="7"/>
    </row>
    <row r="30" spans="1:31" ht="30" customHeight="1" x14ac:dyDescent="0.35">
      <c r="A30" s="3">
        <v>45969</v>
      </c>
      <c r="B30" s="25" t="str">
        <f t="shared" si="2"/>
        <v>Saturday</v>
      </c>
      <c r="C30" s="7" t="s">
        <v>42</v>
      </c>
      <c r="D30" s="7" t="s">
        <v>42</v>
      </c>
      <c r="E30" s="7"/>
      <c r="F30" s="8"/>
      <c r="G30" s="8"/>
      <c r="H30" s="7" t="s">
        <v>212</v>
      </c>
      <c r="I30" s="7" t="s">
        <v>109</v>
      </c>
      <c r="J30" s="7" t="s">
        <v>183</v>
      </c>
      <c r="K30" s="7" t="s">
        <v>183</v>
      </c>
      <c r="L30" s="8"/>
      <c r="M30" s="8"/>
      <c r="N30" s="8"/>
      <c r="Q30" s="3">
        <v>45969</v>
      </c>
      <c r="R30" s="25" t="str">
        <f t="shared" si="3"/>
        <v>Saturday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30" customHeight="1" x14ac:dyDescent="0.35">
      <c r="A31" s="3">
        <v>45970</v>
      </c>
      <c r="B31" s="25" t="str">
        <f t="shared" si="2"/>
        <v>Sunday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Q31" s="3">
        <v>45970</v>
      </c>
      <c r="R31" s="25" t="str">
        <f t="shared" si="3"/>
        <v>Sunday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30" customHeight="1" x14ac:dyDescent="0.35">
      <c r="A32" s="3">
        <v>45971</v>
      </c>
      <c r="B32" s="25" t="str">
        <f t="shared" si="2"/>
        <v>Monday</v>
      </c>
      <c r="C32" s="7" t="s">
        <v>170</v>
      </c>
      <c r="D32" s="7" t="s">
        <v>173</v>
      </c>
      <c r="E32" s="7" t="s">
        <v>172</v>
      </c>
      <c r="F32" s="7" t="s">
        <v>171</v>
      </c>
      <c r="G32" s="7"/>
      <c r="H32" s="7" t="s">
        <v>175</v>
      </c>
      <c r="I32" s="41" t="s">
        <v>174</v>
      </c>
      <c r="J32" s="7" t="s">
        <v>245</v>
      </c>
      <c r="K32" s="7" t="s">
        <v>177</v>
      </c>
      <c r="L32" s="7" t="s">
        <v>38</v>
      </c>
      <c r="M32" s="7" t="s">
        <v>96</v>
      </c>
      <c r="N32" s="35"/>
      <c r="O32" s="1">
        <v>26</v>
      </c>
      <c r="Q32" s="3">
        <v>45971</v>
      </c>
      <c r="R32" s="25" t="str">
        <f t="shared" si="3"/>
        <v>Monday</v>
      </c>
      <c r="S32" s="7" t="s">
        <v>230</v>
      </c>
      <c r="T32" s="7" t="s">
        <v>233</v>
      </c>
      <c r="U32" s="7" t="s">
        <v>231</v>
      </c>
      <c r="V32" s="7" t="s">
        <v>232</v>
      </c>
      <c r="W32" s="7"/>
      <c r="X32" s="7" t="s">
        <v>182</v>
      </c>
      <c r="Y32" s="7" t="s">
        <v>182</v>
      </c>
      <c r="AB32" s="7"/>
      <c r="AC32" s="7"/>
      <c r="AD32" s="41"/>
      <c r="AE32" s="7"/>
    </row>
    <row r="33" spans="1:31" ht="30" customHeight="1" x14ac:dyDescent="0.35">
      <c r="A33" s="3">
        <v>45972</v>
      </c>
      <c r="B33" s="25" t="str">
        <f t="shared" si="2"/>
        <v>Tuesday</v>
      </c>
      <c r="C33" s="7" t="s">
        <v>196</v>
      </c>
      <c r="D33" s="7" t="s">
        <v>179</v>
      </c>
      <c r="E33" s="7" t="s">
        <v>178</v>
      </c>
      <c r="F33" s="7" t="s">
        <v>180</v>
      </c>
      <c r="G33" s="7" t="s">
        <v>155</v>
      </c>
      <c r="H33" s="7" t="s">
        <v>202</v>
      </c>
      <c r="I33" s="7" t="s">
        <v>181</v>
      </c>
      <c r="J33" s="7" t="s">
        <v>182</v>
      </c>
      <c r="K33" s="7" t="s">
        <v>182</v>
      </c>
      <c r="L33" s="7" t="s">
        <v>42</v>
      </c>
      <c r="M33" s="7" t="s">
        <v>42</v>
      </c>
      <c r="N33" s="35"/>
      <c r="O33" s="1">
        <v>27</v>
      </c>
      <c r="Q33" s="3">
        <v>45972</v>
      </c>
      <c r="R33" s="25" t="str">
        <f t="shared" si="3"/>
        <v>Tuesday</v>
      </c>
      <c r="S33" s="7"/>
      <c r="T33" s="7"/>
      <c r="U33" s="7" t="s">
        <v>229</v>
      </c>
      <c r="V33" s="41" t="s">
        <v>226</v>
      </c>
      <c r="W33" s="7"/>
      <c r="X33" s="7" t="s">
        <v>227</v>
      </c>
      <c r="Y33" s="7" t="s">
        <v>228</v>
      </c>
      <c r="Z33" s="7" t="s">
        <v>38</v>
      </c>
      <c r="AA33" s="7"/>
      <c r="AB33" s="7"/>
      <c r="AC33" s="7"/>
      <c r="AD33" s="41"/>
      <c r="AE33" s="7"/>
    </row>
    <row r="34" spans="1:31" ht="30" customHeight="1" x14ac:dyDescent="0.35">
      <c r="A34" s="3">
        <v>45973</v>
      </c>
      <c r="B34" s="25" t="str">
        <f t="shared" si="2"/>
        <v>Wednesday</v>
      </c>
      <c r="C34" s="7" t="s">
        <v>170</v>
      </c>
      <c r="D34" s="7" t="s">
        <v>173</v>
      </c>
      <c r="E34" s="7" t="s">
        <v>172</v>
      </c>
      <c r="F34" s="7" t="s">
        <v>171</v>
      </c>
      <c r="G34" s="7"/>
      <c r="H34" s="7" t="s">
        <v>202</v>
      </c>
      <c r="I34" s="7" t="s">
        <v>181</v>
      </c>
      <c r="J34" s="7" t="s">
        <v>182</v>
      </c>
      <c r="K34" s="7" t="s">
        <v>182</v>
      </c>
      <c r="L34" s="7" t="s">
        <v>183</v>
      </c>
      <c r="M34" s="45" t="s">
        <v>107</v>
      </c>
      <c r="N34" s="35"/>
      <c r="O34" s="1">
        <v>28</v>
      </c>
      <c r="Q34" s="3">
        <v>45973</v>
      </c>
      <c r="R34" s="25" t="str">
        <f t="shared" si="3"/>
        <v>Wednesday</v>
      </c>
      <c r="S34" s="7" t="s">
        <v>230</v>
      </c>
      <c r="T34" s="7" t="s">
        <v>233</v>
      </c>
      <c r="U34" s="7" t="s">
        <v>231</v>
      </c>
      <c r="V34" s="7" t="s">
        <v>232</v>
      </c>
      <c r="W34" s="7"/>
      <c r="X34" s="7" t="s">
        <v>182</v>
      </c>
      <c r="Y34" s="7" t="s">
        <v>182</v>
      </c>
      <c r="AB34" s="7"/>
      <c r="AC34" s="7"/>
      <c r="AD34" s="41"/>
      <c r="AE34" s="7"/>
    </row>
    <row r="35" spans="1:31" ht="30" customHeight="1" x14ac:dyDescent="0.35">
      <c r="A35" s="3">
        <v>45974</v>
      </c>
      <c r="B35" s="25" t="str">
        <f t="shared" si="2"/>
        <v>Thursday</v>
      </c>
      <c r="C35" s="7" t="s">
        <v>196</v>
      </c>
      <c r="D35" s="7" t="s">
        <v>179</v>
      </c>
      <c r="E35" s="7" t="s">
        <v>178</v>
      </c>
      <c r="F35" s="7" t="s">
        <v>180</v>
      </c>
      <c r="G35" s="7"/>
      <c r="H35" s="7" t="s">
        <v>175</v>
      </c>
      <c r="I35" s="41" t="s">
        <v>174</v>
      </c>
      <c r="J35" s="7" t="s">
        <v>245</v>
      </c>
      <c r="K35" s="7" t="s">
        <v>249</v>
      </c>
      <c r="L35" s="7"/>
      <c r="M35" s="7" t="s">
        <v>96</v>
      </c>
      <c r="N35" s="35" t="s">
        <v>96</v>
      </c>
      <c r="O35" s="1">
        <v>29</v>
      </c>
      <c r="Q35" s="3">
        <v>45974</v>
      </c>
      <c r="R35" s="25" t="str">
        <f t="shared" si="3"/>
        <v>Thursday</v>
      </c>
      <c r="S35" s="7"/>
      <c r="T35" s="7"/>
      <c r="U35" s="7" t="s">
        <v>229</v>
      </c>
      <c r="V35" s="41" t="s">
        <v>226</v>
      </c>
      <c r="W35" s="7"/>
      <c r="X35" s="7" t="s">
        <v>227</v>
      </c>
      <c r="Y35" s="7" t="s">
        <v>228</v>
      </c>
      <c r="Z35" s="7" t="s">
        <v>38</v>
      </c>
      <c r="AA35" s="7"/>
      <c r="AB35" s="7"/>
      <c r="AC35" s="7"/>
      <c r="AD35" s="41"/>
      <c r="AE35" s="7"/>
    </row>
    <row r="36" spans="1:31" ht="30" customHeight="1" x14ac:dyDescent="0.35">
      <c r="A36" s="3">
        <v>45975</v>
      </c>
      <c r="B36" s="25" t="str">
        <f t="shared" si="2"/>
        <v>Friday</v>
      </c>
      <c r="C36" s="7" t="s">
        <v>170</v>
      </c>
      <c r="D36" s="7" t="s">
        <v>173</v>
      </c>
      <c r="E36" s="7" t="s">
        <v>172</v>
      </c>
      <c r="F36" s="7" t="s">
        <v>171</v>
      </c>
      <c r="G36" s="7"/>
      <c r="H36" s="7" t="s">
        <v>175</v>
      </c>
      <c r="I36" s="41" t="s">
        <v>174</v>
      </c>
      <c r="J36" s="7" t="s">
        <v>197</v>
      </c>
      <c r="K36" s="7" t="s">
        <v>87</v>
      </c>
      <c r="L36" s="7"/>
      <c r="M36" s="7"/>
      <c r="N36" s="35"/>
      <c r="O36" s="21">
        <v>30</v>
      </c>
      <c r="P36" s="21"/>
      <c r="Q36" s="3">
        <v>45975</v>
      </c>
      <c r="R36" s="25" t="str">
        <f t="shared" si="3"/>
        <v>Friday</v>
      </c>
      <c r="S36" s="7" t="s">
        <v>230</v>
      </c>
      <c r="T36" s="7" t="s">
        <v>233</v>
      </c>
      <c r="U36" s="7" t="s">
        <v>231</v>
      </c>
      <c r="V36" s="7" t="s">
        <v>232</v>
      </c>
      <c r="W36" s="7"/>
      <c r="X36" s="7" t="s">
        <v>182</v>
      </c>
      <c r="Y36" s="7" t="s">
        <v>182</v>
      </c>
      <c r="AB36" s="7"/>
      <c r="AC36" s="7"/>
      <c r="AD36" s="41"/>
      <c r="AE36" s="7"/>
    </row>
    <row r="37" spans="1:31" ht="30" customHeight="1" x14ac:dyDescent="0.35">
      <c r="A37" s="3">
        <v>45976</v>
      </c>
      <c r="B37" s="25" t="str">
        <f t="shared" si="2"/>
        <v>Saturday</v>
      </c>
      <c r="C37" s="7" t="s">
        <v>247</v>
      </c>
      <c r="D37" s="7" t="s">
        <v>179</v>
      </c>
      <c r="E37" s="7" t="s">
        <v>178</v>
      </c>
      <c r="F37" s="7" t="s">
        <v>180</v>
      </c>
      <c r="G37" s="7" t="s">
        <v>155</v>
      </c>
      <c r="H37" s="7" t="s">
        <v>202</v>
      </c>
      <c r="I37" s="7" t="s">
        <v>181</v>
      </c>
      <c r="J37" s="45" t="s">
        <v>246</v>
      </c>
      <c r="K37" s="45" t="s">
        <v>246</v>
      </c>
      <c r="L37" s="7"/>
      <c r="M37" s="7"/>
      <c r="N37" s="35"/>
      <c r="O37" s="21">
        <v>31</v>
      </c>
      <c r="P37" s="21"/>
      <c r="Q37" s="3">
        <v>45976</v>
      </c>
      <c r="R37" s="25" t="str">
        <f t="shared" si="3"/>
        <v>Saturday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30" customHeight="1" x14ac:dyDescent="0.35">
      <c r="A38" s="3">
        <v>45977</v>
      </c>
      <c r="B38" s="25" t="str">
        <f t="shared" si="2"/>
        <v>Sunday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Q38" s="3">
        <v>45977</v>
      </c>
      <c r="R38" s="25" t="str">
        <f t="shared" si="3"/>
        <v>Sunday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30" customHeight="1" x14ac:dyDescent="0.35">
      <c r="A39" s="3">
        <v>45978</v>
      </c>
      <c r="B39" s="25" t="str">
        <f t="shared" si="2"/>
        <v>Monday</v>
      </c>
      <c r="C39" s="7" t="s">
        <v>170</v>
      </c>
      <c r="D39" s="7" t="s">
        <v>173</v>
      </c>
      <c r="E39" s="7" t="s">
        <v>172</v>
      </c>
      <c r="F39" s="7" t="s">
        <v>171</v>
      </c>
      <c r="G39" s="7"/>
      <c r="H39" s="7" t="s">
        <v>175</v>
      </c>
      <c r="I39" s="41" t="s">
        <v>174</v>
      </c>
      <c r="J39" s="7" t="s">
        <v>176</v>
      </c>
      <c r="K39" s="7" t="s">
        <v>249</v>
      </c>
      <c r="L39" s="7"/>
      <c r="M39" s="7" t="s">
        <v>96</v>
      </c>
      <c r="N39" s="35"/>
      <c r="O39" s="1">
        <v>32</v>
      </c>
      <c r="Q39" s="3">
        <v>45978</v>
      </c>
      <c r="R39" s="25" t="str">
        <f t="shared" si="3"/>
        <v>Monday</v>
      </c>
      <c r="S39" s="7" t="s">
        <v>230</v>
      </c>
      <c r="T39" s="7" t="s">
        <v>233</v>
      </c>
      <c r="U39" s="7" t="s">
        <v>231</v>
      </c>
      <c r="V39" s="7" t="s">
        <v>232</v>
      </c>
      <c r="W39" s="7"/>
      <c r="X39" s="7" t="s">
        <v>182</v>
      </c>
      <c r="Y39" s="7" t="s">
        <v>182</v>
      </c>
      <c r="AB39" s="7"/>
      <c r="AC39" s="7"/>
      <c r="AD39" s="41"/>
      <c r="AE39" s="7"/>
    </row>
    <row r="40" spans="1:31" ht="30" customHeight="1" x14ac:dyDescent="0.35">
      <c r="A40" s="3">
        <v>45979</v>
      </c>
      <c r="B40" s="25" t="str">
        <f t="shared" si="2"/>
        <v>Tuesday</v>
      </c>
      <c r="C40" s="7" t="s">
        <v>196</v>
      </c>
      <c r="D40" s="7" t="s">
        <v>179</v>
      </c>
      <c r="E40" s="7" t="s">
        <v>178</v>
      </c>
      <c r="F40" s="7" t="s">
        <v>180</v>
      </c>
      <c r="G40" s="7" t="s">
        <v>155</v>
      </c>
      <c r="H40" s="7" t="s">
        <v>202</v>
      </c>
      <c r="I40" s="7" t="s">
        <v>181</v>
      </c>
      <c r="J40" s="7" t="s">
        <v>182</v>
      </c>
      <c r="K40" s="7" t="s">
        <v>182</v>
      </c>
      <c r="L40" s="7" t="s">
        <v>42</v>
      </c>
      <c r="M40" s="7" t="s">
        <v>42</v>
      </c>
      <c r="N40" s="35"/>
      <c r="O40" s="1">
        <v>33</v>
      </c>
      <c r="Q40" s="3">
        <v>45979</v>
      </c>
      <c r="R40" s="25" t="str">
        <f t="shared" si="3"/>
        <v>Tuesday</v>
      </c>
      <c r="S40" s="7"/>
      <c r="T40" s="7"/>
      <c r="U40" s="7" t="s">
        <v>229</v>
      </c>
      <c r="V40" s="41" t="s">
        <v>226</v>
      </c>
      <c r="W40" s="7"/>
      <c r="X40" s="7" t="s">
        <v>227</v>
      </c>
      <c r="Y40" s="7" t="s">
        <v>228</v>
      </c>
      <c r="Z40" s="7" t="s">
        <v>38</v>
      </c>
      <c r="AA40" s="7"/>
      <c r="AB40" s="7"/>
      <c r="AC40" s="7"/>
      <c r="AD40" s="41"/>
      <c r="AE40" s="7"/>
    </row>
    <row r="41" spans="1:31" ht="30" customHeight="1" x14ac:dyDescent="0.35">
      <c r="A41" s="3">
        <v>45980</v>
      </c>
      <c r="B41" s="25" t="str">
        <f t="shared" si="2"/>
        <v>Wednesday</v>
      </c>
      <c r="C41" s="7" t="s">
        <v>170</v>
      </c>
      <c r="D41" s="7" t="s">
        <v>173</v>
      </c>
      <c r="E41" s="7" t="s">
        <v>172</v>
      </c>
      <c r="F41" s="7" t="s">
        <v>171</v>
      </c>
      <c r="G41" s="7"/>
      <c r="H41" s="45" t="s">
        <v>253</v>
      </c>
      <c r="I41" s="7" t="s">
        <v>181</v>
      </c>
      <c r="J41" s="7" t="s">
        <v>182</v>
      </c>
      <c r="K41" s="7" t="s">
        <v>182</v>
      </c>
      <c r="L41" s="7" t="s">
        <v>183</v>
      </c>
      <c r="M41" s="45" t="s">
        <v>250</v>
      </c>
      <c r="N41" s="35"/>
      <c r="O41" s="1">
        <v>34</v>
      </c>
      <c r="Q41" s="3">
        <v>45980</v>
      </c>
      <c r="R41" s="25" t="str">
        <f t="shared" si="3"/>
        <v>Wednesday</v>
      </c>
      <c r="S41" s="7" t="s">
        <v>230</v>
      </c>
      <c r="T41" s="7" t="s">
        <v>233</v>
      </c>
      <c r="U41" s="7" t="s">
        <v>231</v>
      </c>
      <c r="V41" s="7" t="s">
        <v>232</v>
      </c>
      <c r="W41" s="7"/>
      <c r="X41" s="7" t="s">
        <v>182</v>
      </c>
      <c r="Y41" s="7" t="s">
        <v>182</v>
      </c>
      <c r="AB41" s="7"/>
      <c r="AC41" s="7"/>
      <c r="AD41" s="41"/>
      <c r="AE41" s="7"/>
    </row>
    <row r="42" spans="1:31" ht="30" customHeight="1" x14ac:dyDescent="0.35">
      <c r="A42" s="3">
        <v>45981</v>
      </c>
      <c r="B42" s="25" t="str">
        <f t="shared" si="2"/>
        <v>Thursday</v>
      </c>
      <c r="C42" s="7" t="s">
        <v>196</v>
      </c>
      <c r="D42" s="7" t="s">
        <v>179</v>
      </c>
      <c r="E42" s="7" t="s">
        <v>178</v>
      </c>
      <c r="F42" s="7" t="s">
        <v>180</v>
      </c>
      <c r="G42" s="7"/>
      <c r="H42" s="7" t="s">
        <v>175</v>
      </c>
      <c r="I42" s="41" t="s">
        <v>174</v>
      </c>
      <c r="J42" s="7" t="s">
        <v>176</v>
      </c>
      <c r="K42" s="7" t="s">
        <v>177</v>
      </c>
      <c r="L42" s="7" t="s">
        <v>38</v>
      </c>
      <c r="M42" s="7" t="s">
        <v>96</v>
      </c>
      <c r="N42" s="7" t="s">
        <v>96</v>
      </c>
      <c r="O42" s="1">
        <v>35</v>
      </c>
      <c r="Q42" s="3">
        <v>45981</v>
      </c>
      <c r="R42" s="25" t="str">
        <f t="shared" si="3"/>
        <v>Thursday</v>
      </c>
      <c r="S42" s="7"/>
      <c r="T42" s="7"/>
      <c r="U42" s="7" t="s">
        <v>229</v>
      </c>
      <c r="V42" s="41" t="s">
        <v>226</v>
      </c>
      <c r="W42" s="7"/>
      <c r="X42" s="7" t="s">
        <v>227</v>
      </c>
      <c r="Y42" s="7" t="s">
        <v>228</v>
      </c>
      <c r="Z42" s="7" t="s">
        <v>38</v>
      </c>
      <c r="AA42" s="7"/>
      <c r="AB42" s="7"/>
      <c r="AC42" s="7"/>
      <c r="AD42" s="41"/>
      <c r="AE42" s="7"/>
    </row>
    <row r="43" spans="1:31" ht="30" customHeight="1" x14ac:dyDescent="0.35">
      <c r="A43" s="3">
        <v>45982</v>
      </c>
      <c r="B43" s="25" t="str">
        <f t="shared" si="2"/>
        <v>Friday</v>
      </c>
      <c r="C43" s="7" t="s">
        <v>170</v>
      </c>
      <c r="D43" s="7" t="s">
        <v>173</v>
      </c>
      <c r="E43" s="7" t="s">
        <v>172</v>
      </c>
      <c r="F43" s="7" t="s">
        <v>171</v>
      </c>
      <c r="G43" s="7"/>
      <c r="H43" s="7" t="s">
        <v>175</v>
      </c>
      <c r="I43" s="41" t="s">
        <v>174</v>
      </c>
      <c r="J43" s="45" t="s">
        <v>251</v>
      </c>
      <c r="K43" s="45" t="s">
        <v>252</v>
      </c>
      <c r="L43" s="7" t="s">
        <v>38</v>
      </c>
      <c r="M43" s="45" t="s">
        <v>51</v>
      </c>
      <c r="N43" s="45" t="s">
        <v>52</v>
      </c>
      <c r="O43" s="1">
        <v>36</v>
      </c>
      <c r="Q43" s="3">
        <v>45982</v>
      </c>
      <c r="R43" s="25" t="str">
        <f t="shared" si="3"/>
        <v>Friday</v>
      </c>
      <c r="S43" s="7" t="s">
        <v>230</v>
      </c>
      <c r="T43" s="7" t="s">
        <v>233</v>
      </c>
      <c r="U43" s="7" t="s">
        <v>231</v>
      </c>
      <c r="V43" s="7" t="s">
        <v>232</v>
      </c>
      <c r="W43" s="7"/>
      <c r="X43" s="7" t="s">
        <v>182</v>
      </c>
      <c r="Y43" s="7" t="s">
        <v>182</v>
      </c>
      <c r="AB43" s="7"/>
      <c r="AC43" s="7"/>
      <c r="AD43" s="41"/>
      <c r="AE43" s="7"/>
    </row>
    <row r="44" spans="1:31" ht="30" customHeight="1" x14ac:dyDescent="0.35">
      <c r="A44" s="3">
        <v>45983</v>
      </c>
      <c r="B44" s="25" t="str">
        <f t="shared" si="2"/>
        <v>Saturday</v>
      </c>
      <c r="C44" s="7" t="s">
        <v>42</v>
      </c>
      <c r="D44" s="7" t="s">
        <v>42</v>
      </c>
      <c r="E44" s="7" t="s">
        <v>108</v>
      </c>
      <c r="F44" s="8"/>
      <c r="G44" s="8"/>
      <c r="H44" s="7" t="s">
        <v>212</v>
      </c>
      <c r="I44" s="7" t="s">
        <v>109</v>
      </c>
      <c r="J44" s="7" t="s">
        <v>183</v>
      </c>
      <c r="K44" s="7" t="s">
        <v>183</v>
      </c>
      <c r="L44" s="8"/>
      <c r="M44" s="8"/>
      <c r="N44" s="8"/>
      <c r="O44" s="21"/>
      <c r="P44" s="21"/>
      <c r="Q44" s="3">
        <v>45983</v>
      </c>
      <c r="R44" s="25" t="str">
        <f t="shared" si="3"/>
        <v>Saturday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ht="30" customHeight="1" x14ac:dyDescent="0.35">
      <c r="A45" s="3">
        <v>45984</v>
      </c>
      <c r="B45" s="25" t="str">
        <f t="shared" si="2"/>
        <v>Sunday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Q45" s="3">
        <v>45984</v>
      </c>
      <c r="R45" s="25" t="str">
        <f t="shared" si="3"/>
        <v>Sunday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30" customHeight="1" x14ac:dyDescent="0.35">
      <c r="A46" s="3">
        <v>45985</v>
      </c>
      <c r="B46" s="25" t="str">
        <f t="shared" si="2"/>
        <v>Monday</v>
      </c>
      <c r="C46" s="7" t="s">
        <v>170</v>
      </c>
      <c r="D46" s="7" t="s">
        <v>173</v>
      </c>
      <c r="E46" s="7" t="s">
        <v>172</v>
      </c>
      <c r="F46" s="7" t="s">
        <v>171</v>
      </c>
      <c r="G46" s="7"/>
      <c r="H46" s="7" t="s">
        <v>175</v>
      </c>
      <c r="I46" s="41" t="s">
        <v>174</v>
      </c>
      <c r="J46" s="7" t="s">
        <v>176</v>
      </c>
      <c r="K46" s="7" t="s">
        <v>177</v>
      </c>
      <c r="L46" s="7" t="s">
        <v>38</v>
      </c>
      <c r="M46" s="7" t="s">
        <v>96</v>
      </c>
      <c r="N46" s="35"/>
      <c r="O46" s="1">
        <v>37</v>
      </c>
      <c r="Q46" s="3">
        <v>45985</v>
      </c>
      <c r="R46" s="25" t="str">
        <f t="shared" si="3"/>
        <v>Monday</v>
      </c>
      <c r="S46" s="7" t="s">
        <v>230</v>
      </c>
      <c r="T46" s="7" t="s">
        <v>233</v>
      </c>
      <c r="U46" s="7" t="s">
        <v>231</v>
      </c>
      <c r="V46" s="7" t="s">
        <v>232</v>
      </c>
      <c r="W46" s="7"/>
      <c r="X46" s="7" t="s">
        <v>182</v>
      </c>
      <c r="Y46" s="7" t="s">
        <v>182</v>
      </c>
      <c r="AB46" s="7"/>
      <c r="AC46" s="7"/>
      <c r="AD46" s="41"/>
      <c r="AE46" s="7"/>
    </row>
    <row r="47" spans="1:31" ht="30" customHeight="1" x14ac:dyDescent="0.35">
      <c r="A47" s="3">
        <v>45986</v>
      </c>
      <c r="B47" s="25" t="str">
        <f t="shared" si="2"/>
        <v>Tuesday</v>
      </c>
      <c r="C47" s="7" t="s">
        <v>196</v>
      </c>
      <c r="D47" s="7" t="s">
        <v>179</v>
      </c>
      <c r="E47" s="7" t="s">
        <v>178</v>
      </c>
      <c r="F47" s="7" t="s">
        <v>180</v>
      </c>
      <c r="G47" s="7" t="s">
        <v>155</v>
      </c>
      <c r="H47" s="7" t="s">
        <v>202</v>
      </c>
      <c r="I47" s="7" t="s">
        <v>181</v>
      </c>
      <c r="J47" s="7" t="s">
        <v>182</v>
      </c>
      <c r="K47" s="7" t="s">
        <v>182</v>
      </c>
      <c r="L47" s="7" t="s">
        <v>42</v>
      </c>
      <c r="M47" s="7" t="s">
        <v>42</v>
      </c>
      <c r="N47" s="35"/>
      <c r="O47" s="1">
        <v>38</v>
      </c>
      <c r="Q47" s="3">
        <v>45986</v>
      </c>
      <c r="R47" s="25" t="str">
        <f t="shared" si="3"/>
        <v>Tuesday</v>
      </c>
      <c r="S47" s="7"/>
      <c r="T47" s="7"/>
      <c r="U47" s="7" t="s">
        <v>229</v>
      </c>
      <c r="V47" s="41" t="s">
        <v>226</v>
      </c>
      <c r="W47" s="7"/>
      <c r="X47" s="7" t="s">
        <v>227</v>
      </c>
      <c r="Y47" s="7" t="s">
        <v>228</v>
      </c>
      <c r="Z47" s="7" t="s">
        <v>38</v>
      </c>
      <c r="AA47" s="7"/>
      <c r="AB47" s="7"/>
      <c r="AC47" s="7"/>
      <c r="AD47" s="41"/>
      <c r="AE47" s="7"/>
    </row>
    <row r="48" spans="1:31" ht="30" customHeight="1" x14ac:dyDescent="0.35">
      <c r="A48" s="3">
        <v>45987</v>
      </c>
      <c r="B48" s="25" t="str">
        <f t="shared" si="2"/>
        <v>Wednesday</v>
      </c>
      <c r="C48" s="7" t="s">
        <v>170</v>
      </c>
      <c r="D48" s="7" t="s">
        <v>173</v>
      </c>
      <c r="E48" s="7" t="s">
        <v>172</v>
      </c>
      <c r="F48" s="7" t="s">
        <v>171</v>
      </c>
      <c r="G48" s="7" t="s">
        <v>256</v>
      </c>
      <c r="H48" s="7"/>
      <c r="I48" s="7" t="s">
        <v>181</v>
      </c>
      <c r="J48" s="7" t="s">
        <v>182</v>
      </c>
      <c r="K48" s="7" t="s">
        <v>182</v>
      </c>
      <c r="L48" s="7" t="s">
        <v>183</v>
      </c>
      <c r="M48" s="45" t="s">
        <v>250</v>
      </c>
      <c r="N48" s="35"/>
      <c r="O48" s="1">
        <v>39</v>
      </c>
      <c r="Q48" s="3">
        <v>45987</v>
      </c>
      <c r="R48" s="25" t="str">
        <f t="shared" si="3"/>
        <v>Wednesday</v>
      </c>
      <c r="S48" s="7" t="s">
        <v>230</v>
      </c>
      <c r="T48" s="7" t="s">
        <v>233</v>
      </c>
      <c r="U48" s="7" t="s">
        <v>231</v>
      </c>
      <c r="V48" s="7" t="s">
        <v>232</v>
      </c>
      <c r="W48" s="7"/>
      <c r="X48" s="7" t="s">
        <v>182</v>
      </c>
      <c r="Y48" s="7" t="s">
        <v>182</v>
      </c>
      <c r="AB48" s="7"/>
      <c r="AC48" s="7"/>
      <c r="AD48" s="41"/>
      <c r="AE48" s="7"/>
    </row>
    <row r="49" spans="1:31" ht="30" customHeight="1" x14ac:dyDescent="0.35">
      <c r="A49" s="3">
        <v>45988</v>
      </c>
      <c r="B49" s="25" t="str">
        <f t="shared" si="2"/>
        <v>Thursday</v>
      </c>
      <c r="C49" s="7" t="s">
        <v>196</v>
      </c>
      <c r="D49" s="7" t="s">
        <v>179</v>
      </c>
      <c r="E49" s="7" t="s">
        <v>178</v>
      </c>
      <c r="F49" s="7" t="s">
        <v>180</v>
      </c>
      <c r="G49" s="7"/>
      <c r="H49" s="7" t="s">
        <v>175</v>
      </c>
      <c r="I49" s="41" t="s">
        <v>174</v>
      </c>
      <c r="J49" s="7" t="s">
        <v>176</v>
      </c>
      <c r="K49" s="7" t="s">
        <v>177</v>
      </c>
      <c r="L49" s="7" t="s">
        <v>38</v>
      </c>
      <c r="M49" s="7" t="s">
        <v>96</v>
      </c>
      <c r="N49" s="35" t="s">
        <v>96</v>
      </c>
      <c r="O49" s="1">
        <v>40</v>
      </c>
      <c r="Q49" s="3">
        <v>45988</v>
      </c>
      <c r="R49" s="25" t="str">
        <f t="shared" si="3"/>
        <v>Thursday</v>
      </c>
      <c r="S49" s="7"/>
      <c r="T49" s="7"/>
      <c r="U49" s="7" t="s">
        <v>229</v>
      </c>
      <c r="V49" s="41" t="s">
        <v>226</v>
      </c>
      <c r="W49" s="7"/>
      <c r="X49" s="7" t="s">
        <v>227</v>
      </c>
      <c r="Y49" s="7" t="s">
        <v>228</v>
      </c>
      <c r="Z49" s="7" t="s">
        <v>38</v>
      </c>
      <c r="AA49" s="7"/>
      <c r="AB49" s="7"/>
      <c r="AC49" s="7"/>
      <c r="AD49" s="41"/>
      <c r="AE49" s="7"/>
    </row>
    <row r="50" spans="1:31" ht="30" customHeight="1" x14ac:dyDescent="0.35">
      <c r="A50" s="3">
        <v>45989</v>
      </c>
      <c r="B50" s="25" t="str">
        <f t="shared" si="2"/>
        <v>Friday</v>
      </c>
      <c r="C50" s="7" t="s">
        <v>170</v>
      </c>
      <c r="D50" s="7" t="s">
        <v>173</v>
      </c>
      <c r="E50" s="7" t="s">
        <v>172</v>
      </c>
      <c r="F50" s="7" t="s">
        <v>171</v>
      </c>
      <c r="G50" s="7"/>
      <c r="H50" s="7" t="s">
        <v>175</v>
      </c>
      <c r="I50" s="41" t="s">
        <v>174</v>
      </c>
      <c r="J50" s="7" t="s">
        <v>197</v>
      </c>
      <c r="K50" s="7" t="s">
        <v>39</v>
      </c>
      <c r="L50" s="7" t="s">
        <v>38</v>
      </c>
      <c r="M50" s="45" t="s">
        <v>51</v>
      </c>
      <c r="N50" s="35"/>
      <c r="O50" s="1">
        <v>41</v>
      </c>
      <c r="Q50" s="3">
        <v>45989</v>
      </c>
      <c r="R50" s="25" t="str">
        <f t="shared" si="3"/>
        <v>Friday</v>
      </c>
      <c r="S50" s="7" t="s">
        <v>230</v>
      </c>
      <c r="T50" s="7" t="s">
        <v>233</v>
      </c>
      <c r="U50" s="7" t="s">
        <v>231</v>
      </c>
      <c r="V50" s="7" t="s">
        <v>232</v>
      </c>
      <c r="W50" s="7"/>
      <c r="X50" s="7" t="s">
        <v>182</v>
      </c>
      <c r="Y50" s="7" t="s">
        <v>182</v>
      </c>
      <c r="AB50" s="7"/>
      <c r="AC50" s="7"/>
      <c r="AD50" s="41"/>
      <c r="AE50" s="7"/>
    </row>
    <row r="51" spans="1:31" ht="30" customHeight="1" x14ac:dyDescent="0.35">
      <c r="A51" s="3">
        <v>45990</v>
      </c>
      <c r="B51" s="25" t="str">
        <f t="shared" si="2"/>
        <v>Saturday</v>
      </c>
      <c r="C51" s="7" t="s">
        <v>247</v>
      </c>
      <c r="D51" s="7" t="s">
        <v>179</v>
      </c>
      <c r="E51" s="7" t="s">
        <v>178</v>
      </c>
      <c r="F51" s="7" t="s">
        <v>180</v>
      </c>
      <c r="G51" s="7" t="s">
        <v>155</v>
      </c>
      <c r="H51" s="7" t="s">
        <v>202</v>
      </c>
      <c r="I51" s="7" t="s">
        <v>181</v>
      </c>
      <c r="J51" s="45" t="s">
        <v>246</v>
      </c>
      <c r="K51" s="45" t="s">
        <v>246</v>
      </c>
      <c r="L51" s="7" t="s">
        <v>38</v>
      </c>
      <c r="M51" s="7" t="s">
        <v>39</v>
      </c>
      <c r="N51" s="35"/>
      <c r="O51" s="1">
        <v>42</v>
      </c>
      <c r="Q51" s="3">
        <v>45990</v>
      </c>
      <c r="R51" s="25" t="str">
        <f t="shared" si="3"/>
        <v>Saturday</v>
      </c>
      <c r="S51" s="7"/>
      <c r="T51" s="7"/>
      <c r="U51" s="7"/>
      <c r="V51" s="7"/>
      <c r="W51" s="31"/>
      <c r="X51" s="7"/>
      <c r="Y51" s="7"/>
      <c r="Z51" s="7"/>
      <c r="AA51" s="7"/>
      <c r="AB51" s="7"/>
      <c r="AC51" s="7"/>
      <c r="AD51" s="41"/>
      <c r="AE51" s="35"/>
    </row>
    <row r="52" spans="1:31" ht="30" customHeight="1" x14ac:dyDescent="0.35">
      <c r="A52" s="3">
        <v>45991</v>
      </c>
      <c r="B52" s="25" t="str">
        <f t="shared" ref="B52:B88" si="4">TEXT(A52,"dddd")</f>
        <v>Sunday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Q52" s="3">
        <v>45991</v>
      </c>
      <c r="R52" s="25" t="str">
        <f t="shared" si="3"/>
        <v>Sunday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ht="30" customHeight="1" x14ac:dyDescent="0.35">
      <c r="A53" s="3">
        <v>45992</v>
      </c>
      <c r="B53" s="25" t="str">
        <f t="shared" si="4"/>
        <v>Monday</v>
      </c>
      <c r="C53" s="7" t="s">
        <v>170</v>
      </c>
      <c r="D53" s="7" t="s">
        <v>173</v>
      </c>
      <c r="E53" s="7" t="s">
        <v>172</v>
      </c>
      <c r="F53" s="7" t="s">
        <v>171</v>
      </c>
      <c r="G53" s="7"/>
      <c r="H53" s="7" t="s">
        <v>175</v>
      </c>
      <c r="I53" s="41" t="s">
        <v>174</v>
      </c>
      <c r="J53" s="7" t="s">
        <v>176</v>
      </c>
      <c r="K53" s="7" t="s">
        <v>177</v>
      </c>
      <c r="L53" s="7" t="s">
        <v>38</v>
      </c>
      <c r="M53" s="7" t="s">
        <v>96</v>
      </c>
      <c r="N53" s="35"/>
      <c r="O53" s="1">
        <v>43</v>
      </c>
      <c r="Q53" s="3">
        <v>45992</v>
      </c>
      <c r="R53" s="25" t="str">
        <f t="shared" si="3"/>
        <v>Monday</v>
      </c>
      <c r="S53" s="7" t="s">
        <v>230</v>
      </c>
      <c r="T53" s="7" t="s">
        <v>233</v>
      </c>
      <c r="U53" s="7" t="s">
        <v>231</v>
      </c>
      <c r="V53" s="7" t="s">
        <v>232</v>
      </c>
      <c r="W53" s="7"/>
      <c r="X53" s="7" t="s">
        <v>182</v>
      </c>
      <c r="Y53" s="7" t="s">
        <v>182</v>
      </c>
      <c r="AB53" s="7"/>
      <c r="AC53" s="7"/>
      <c r="AD53" s="41"/>
      <c r="AE53" s="7"/>
    </row>
    <row r="54" spans="1:31" ht="30" customHeight="1" x14ac:dyDescent="0.35">
      <c r="A54" s="3">
        <v>45993</v>
      </c>
      <c r="B54" s="25" t="str">
        <f t="shared" si="4"/>
        <v>Tuesday</v>
      </c>
      <c r="C54" s="7" t="s">
        <v>196</v>
      </c>
      <c r="D54" s="7" t="s">
        <v>179</v>
      </c>
      <c r="E54" s="7" t="s">
        <v>178</v>
      </c>
      <c r="F54" s="7" t="s">
        <v>180</v>
      </c>
      <c r="G54" s="7" t="s">
        <v>155</v>
      </c>
      <c r="H54" s="7" t="s">
        <v>202</v>
      </c>
      <c r="I54" s="7" t="s">
        <v>181</v>
      </c>
      <c r="J54" s="7" t="s">
        <v>182</v>
      </c>
      <c r="K54" s="7" t="s">
        <v>182</v>
      </c>
      <c r="L54" s="7" t="s">
        <v>42</v>
      </c>
      <c r="M54" s="7" t="s">
        <v>42</v>
      </c>
      <c r="N54" s="35"/>
      <c r="O54" s="1">
        <v>44</v>
      </c>
      <c r="Q54" s="3">
        <v>45993</v>
      </c>
      <c r="R54" s="25" t="str">
        <f t="shared" ref="R54:R88" si="5">TEXT(Q54,"dddd")</f>
        <v>Tuesday</v>
      </c>
      <c r="S54" s="7"/>
      <c r="T54" s="7"/>
      <c r="U54" s="7" t="s">
        <v>229</v>
      </c>
      <c r="V54" s="41" t="s">
        <v>226</v>
      </c>
      <c r="W54" s="7"/>
      <c r="X54" s="7" t="s">
        <v>227</v>
      </c>
      <c r="Y54" s="7" t="s">
        <v>228</v>
      </c>
      <c r="Z54" s="7" t="s">
        <v>38</v>
      </c>
      <c r="AA54" s="7"/>
      <c r="AB54" s="7"/>
      <c r="AC54" s="7"/>
      <c r="AD54" s="41"/>
      <c r="AE54" s="7"/>
    </row>
    <row r="55" spans="1:31" ht="30" customHeight="1" x14ac:dyDescent="0.35">
      <c r="A55" s="3">
        <v>45994</v>
      </c>
      <c r="B55" s="25" t="str">
        <f t="shared" si="4"/>
        <v>Wednesday</v>
      </c>
      <c r="C55" s="7" t="s">
        <v>170</v>
      </c>
      <c r="D55" s="7" t="s">
        <v>173</v>
      </c>
      <c r="E55" s="7" t="s">
        <v>172</v>
      </c>
      <c r="F55" s="7" t="s">
        <v>171</v>
      </c>
      <c r="G55" s="7"/>
      <c r="H55" s="7" t="s">
        <v>202</v>
      </c>
      <c r="I55" s="7" t="s">
        <v>181</v>
      </c>
      <c r="J55" s="7" t="s">
        <v>182</v>
      </c>
      <c r="K55" s="7" t="s">
        <v>182</v>
      </c>
      <c r="L55" s="7" t="s">
        <v>183</v>
      </c>
      <c r="M55" s="45" t="s">
        <v>250</v>
      </c>
      <c r="N55" s="35"/>
      <c r="O55" s="1">
        <v>45</v>
      </c>
      <c r="Q55" s="3">
        <v>45994</v>
      </c>
      <c r="R55" s="25" t="str">
        <f t="shared" si="5"/>
        <v>Wednesday</v>
      </c>
      <c r="S55" s="7" t="s">
        <v>230</v>
      </c>
      <c r="T55" s="7" t="s">
        <v>233</v>
      </c>
      <c r="U55" s="7" t="s">
        <v>231</v>
      </c>
      <c r="V55" s="7" t="s">
        <v>232</v>
      </c>
      <c r="W55" s="7"/>
      <c r="X55" s="7" t="s">
        <v>182</v>
      </c>
      <c r="Y55" s="7" t="s">
        <v>182</v>
      </c>
      <c r="AB55" s="7"/>
      <c r="AC55" s="7"/>
      <c r="AD55" s="41"/>
      <c r="AE55" s="7"/>
    </row>
    <row r="56" spans="1:31" ht="30" customHeight="1" x14ac:dyDescent="0.35">
      <c r="A56" s="3">
        <v>45995</v>
      </c>
      <c r="B56" s="25" t="str">
        <f t="shared" si="4"/>
        <v>Thursday</v>
      </c>
      <c r="C56" s="7" t="s">
        <v>196</v>
      </c>
      <c r="D56" s="7" t="s">
        <v>179</v>
      </c>
      <c r="E56" s="7" t="s">
        <v>178</v>
      </c>
      <c r="F56" s="7" t="s">
        <v>180</v>
      </c>
      <c r="G56" s="7"/>
      <c r="H56" s="7" t="s">
        <v>175</v>
      </c>
      <c r="I56" s="41" t="s">
        <v>174</v>
      </c>
      <c r="J56" s="7" t="s">
        <v>176</v>
      </c>
      <c r="K56" s="7" t="s">
        <v>177</v>
      </c>
      <c r="L56" s="7" t="s">
        <v>38</v>
      </c>
      <c r="M56" s="7" t="s">
        <v>96</v>
      </c>
      <c r="N56" s="35" t="s">
        <v>96</v>
      </c>
      <c r="O56" s="1">
        <v>46</v>
      </c>
      <c r="Q56" s="3">
        <v>45995</v>
      </c>
      <c r="R56" s="25" t="str">
        <f t="shared" si="5"/>
        <v>Thursday</v>
      </c>
      <c r="S56" s="7"/>
      <c r="T56" s="7"/>
      <c r="U56" s="7" t="s">
        <v>229</v>
      </c>
      <c r="V56" s="41" t="s">
        <v>226</v>
      </c>
      <c r="W56" s="7"/>
      <c r="X56" s="7" t="s">
        <v>227</v>
      </c>
      <c r="Y56" s="7" t="s">
        <v>228</v>
      </c>
      <c r="Z56" s="7" t="s">
        <v>38</v>
      </c>
      <c r="AA56" s="7"/>
      <c r="AB56" s="7"/>
      <c r="AC56" s="7"/>
      <c r="AD56" s="41"/>
      <c r="AE56" s="7"/>
    </row>
    <row r="57" spans="1:31" ht="30" customHeight="1" x14ac:dyDescent="0.35">
      <c r="A57" s="3">
        <v>45996</v>
      </c>
      <c r="B57" s="25" t="str">
        <f t="shared" si="4"/>
        <v>Friday</v>
      </c>
      <c r="C57" s="7" t="s">
        <v>170</v>
      </c>
      <c r="D57" s="7" t="s">
        <v>173</v>
      </c>
      <c r="E57" s="7" t="s">
        <v>172</v>
      </c>
      <c r="F57" s="7" t="s">
        <v>171</v>
      </c>
      <c r="G57" s="7"/>
      <c r="H57" s="7" t="s">
        <v>175</v>
      </c>
      <c r="I57" s="41" t="s">
        <v>174</v>
      </c>
      <c r="J57" s="7" t="s">
        <v>197</v>
      </c>
      <c r="K57" s="7" t="s">
        <v>39</v>
      </c>
      <c r="L57" s="7" t="s">
        <v>38</v>
      </c>
      <c r="M57" s="45" t="s">
        <v>51</v>
      </c>
      <c r="N57" s="45" t="s">
        <v>52</v>
      </c>
      <c r="O57" s="1">
        <v>47</v>
      </c>
      <c r="Q57" s="3">
        <v>45996</v>
      </c>
      <c r="R57" s="25" t="str">
        <f t="shared" si="5"/>
        <v>Friday</v>
      </c>
      <c r="S57" s="7" t="s">
        <v>230</v>
      </c>
      <c r="T57" s="7" t="s">
        <v>233</v>
      </c>
      <c r="U57" s="7" t="s">
        <v>231</v>
      </c>
      <c r="V57" s="7" t="s">
        <v>232</v>
      </c>
      <c r="W57" s="7"/>
      <c r="X57" s="7" t="s">
        <v>182</v>
      </c>
      <c r="Y57" s="7" t="s">
        <v>182</v>
      </c>
      <c r="AB57" s="7"/>
      <c r="AC57" s="7"/>
      <c r="AD57" s="41"/>
      <c r="AE57" s="7"/>
    </row>
    <row r="58" spans="1:31" ht="30" customHeight="1" x14ac:dyDescent="0.35">
      <c r="A58" s="3">
        <v>45997</v>
      </c>
      <c r="B58" s="25" t="str">
        <f t="shared" si="4"/>
        <v>Saturday</v>
      </c>
      <c r="C58" s="7" t="s">
        <v>196</v>
      </c>
      <c r="D58" s="7" t="s">
        <v>179</v>
      </c>
      <c r="E58" s="7" t="s">
        <v>178</v>
      </c>
      <c r="F58" s="7" t="s">
        <v>180</v>
      </c>
      <c r="G58" s="7" t="s">
        <v>155</v>
      </c>
      <c r="H58" s="7" t="s">
        <v>202</v>
      </c>
      <c r="I58" s="7" t="s">
        <v>181</v>
      </c>
      <c r="J58" s="45" t="s">
        <v>246</v>
      </c>
      <c r="K58" s="45" t="s">
        <v>246</v>
      </c>
      <c r="L58" s="7"/>
      <c r="M58" s="7"/>
      <c r="N58" s="35"/>
      <c r="O58" s="1">
        <v>48</v>
      </c>
      <c r="Q58" s="3">
        <v>45997</v>
      </c>
      <c r="R58" s="25" t="str">
        <f t="shared" si="5"/>
        <v>Saturday</v>
      </c>
      <c r="S58" s="7"/>
      <c r="T58" s="7"/>
      <c r="U58" s="7"/>
      <c r="V58" s="7"/>
      <c r="W58" s="31"/>
      <c r="X58" s="7"/>
      <c r="Y58" s="7"/>
      <c r="Z58" s="7"/>
      <c r="AA58" s="7"/>
      <c r="AB58" s="7"/>
      <c r="AC58" s="7"/>
      <c r="AD58" s="41"/>
      <c r="AE58" s="35"/>
    </row>
    <row r="59" spans="1:31" ht="30" customHeight="1" x14ac:dyDescent="0.35">
      <c r="A59" s="3">
        <v>45998</v>
      </c>
      <c r="B59" s="25" t="str">
        <f t="shared" si="4"/>
        <v>Sunday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Q59" s="3">
        <v>45998</v>
      </c>
      <c r="R59" s="25" t="str">
        <f t="shared" si="5"/>
        <v>Sunday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30" customHeight="1" x14ac:dyDescent="0.35">
      <c r="A60" s="3">
        <v>45999</v>
      </c>
      <c r="B60" s="25" t="str">
        <f t="shared" si="4"/>
        <v>Monday</v>
      </c>
      <c r="C60" s="7" t="s">
        <v>170</v>
      </c>
      <c r="D60" s="7" t="s">
        <v>173</v>
      </c>
      <c r="E60" s="7" t="s">
        <v>172</v>
      </c>
      <c r="F60" s="7" t="s">
        <v>171</v>
      </c>
      <c r="G60" s="7"/>
      <c r="H60" s="7" t="s">
        <v>175</v>
      </c>
      <c r="I60" s="41" t="s">
        <v>174</v>
      </c>
      <c r="J60" s="7" t="s">
        <v>176</v>
      </c>
      <c r="K60" s="7" t="s">
        <v>177</v>
      </c>
      <c r="L60" s="7" t="s">
        <v>38</v>
      </c>
      <c r="M60" s="7" t="s">
        <v>96</v>
      </c>
      <c r="N60" s="35"/>
      <c r="O60" s="1">
        <v>49</v>
      </c>
      <c r="Q60" s="3">
        <v>45999</v>
      </c>
      <c r="R60" s="25" t="str">
        <f t="shared" si="5"/>
        <v>Monday</v>
      </c>
      <c r="S60" s="7" t="s">
        <v>230</v>
      </c>
      <c r="T60" s="7" t="s">
        <v>233</v>
      </c>
      <c r="U60" s="7" t="s">
        <v>231</v>
      </c>
      <c r="V60" s="7" t="s">
        <v>232</v>
      </c>
      <c r="W60" s="7"/>
      <c r="X60" s="7" t="s">
        <v>182</v>
      </c>
      <c r="Y60" s="7" t="s">
        <v>182</v>
      </c>
      <c r="AB60" s="7"/>
      <c r="AC60" s="7"/>
      <c r="AD60" s="41"/>
      <c r="AE60" s="7"/>
    </row>
    <row r="61" spans="1:31" ht="30" customHeight="1" x14ac:dyDescent="0.35">
      <c r="A61" s="3">
        <v>46000</v>
      </c>
      <c r="B61" s="25" t="str">
        <f t="shared" si="4"/>
        <v>Tuesday</v>
      </c>
      <c r="C61" s="7" t="s">
        <v>196</v>
      </c>
      <c r="D61" s="7" t="s">
        <v>179</v>
      </c>
      <c r="E61" s="7" t="s">
        <v>178</v>
      </c>
      <c r="F61" s="7" t="s">
        <v>180</v>
      </c>
      <c r="G61" s="7" t="s">
        <v>155</v>
      </c>
      <c r="H61" s="7" t="s">
        <v>202</v>
      </c>
      <c r="I61" s="7" t="s">
        <v>181</v>
      </c>
      <c r="J61" s="7" t="s">
        <v>182</v>
      </c>
      <c r="K61" s="7" t="s">
        <v>182</v>
      </c>
      <c r="L61" s="7" t="s">
        <v>42</v>
      </c>
      <c r="M61" s="7" t="s">
        <v>42</v>
      </c>
      <c r="N61" s="35"/>
      <c r="O61" s="1">
        <v>50</v>
      </c>
      <c r="Q61" s="3">
        <v>46000</v>
      </c>
      <c r="R61" s="25" t="str">
        <f t="shared" si="5"/>
        <v>Tuesday</v>
      </c>
      <c r="S61" s="7"/>
      <c r="T61" s="7"/>
      <c r="U61" s="7" t="s">
        <v>229</v>
      </c>
      <c r="V61" s="41" t="s">
        <v>226</v>
      </c>
      <c r="W61" s="7"/>
      <c r="X61" s="7" t="s">
        <v>227</v>
      </c>
      <c r="Y61" s="7" t="s">
        <v>228</v>
      </c>
      <c r="Z61" s="7" t="s">
        <v>38</v>
      </c>
      <c r="AA61" s="7"/>
      <c r="AB61" s="7"/>
      <c r="AC61" s="7"/>
      <c r="AD61" s="41"/>
      <c r="AE61" s="7"/>
    </row>
    <row r="62" spans="1:31" ht="30" customHeight="1" x14ac:dyDescent="0.35">
      <c r="A62" s="3">
        <v>46001</v>
      </c>
      <c r="B62" s="25" t="str">
        <f t="shared" si="4"/>
        <v>Wednesday</v>
      </c>
      <c r="C62" s="7" t="s">
        <v>170</v>
      </c>
      <c r="D62" s="7" t="s">
        <v>173</v>
      </c>
      <c r="E62" s="7" t="s">
        <v>172</v>
      </c>
      <c r="F62" s="7" t="s">
        <v>171</v>
      </c>
      <c r="G62" s="7"/>
      <c r="H62" s="45" t="s">
        <v>253</v>
      </c>
      <c r="I62" s="7" t="s">
        <v>181</v>
      </c>
      <c r="J62" s="7" t="s">
        <v>182</v>
      </c>
      <c r="K62" s="7" t="s">
        <v>182</v>
      </c>
      <c r="L62" s="7" t="s">
        <v>183</v>
      </c>
      <c r="M62" s="7"/>
      <c r="N62" s="35"/>
      <c r="O62" s="1">
        <v>51</v>
      </c>
      <c r="Q62" s="3">
        <v>46001</v>
      </c>
      <c r="R62" s="25" t="str">
        <f t="shared" si="5"/>
        <v>Wednesday</v>
      </c>
      <c r="S62" s="7" t="s">
        <v>230</v>
      </c>
      <c r="T62" s="7" t="s">
        <v>233</v>
      </c>
      <c r="U62" s="7" t="s">
        <v>231</v>
      </c>
      <c r="V62" s="7" t="s">
        <v>232</v>
      </c>
      <c r="W62" s="7"/>
      <c r="X62" s="7" t="s">
        <v>182</v>
      </c>
      <c r="Y62" s="7" t="s">
        <v>182</v>
      </c>
      <c r="AB62" s="7"/>
      <c r="AC62" s="7"/>
      <c r="AD62" s="41"/>
      <c r="AE62" s="7"/>
    </row>
    <row r="63" spans="1:31" ht="30" customHeight="1" x14ac:dyDescent="0.35">
      <c r="A63" s="3">
        <v>46002</v>
      </c>
      <c r="B63" s="25" t="str">
        <f t="shared" si="4"/>
        <v>Thursday</v>
      </c>
      <c r="C63" s="7" t="s">
        <v>196</v>
      </c>
      <c r="D63" s="7" t="s">
        <v>179</v>
      </c>
      <c r="E63" s="7" t="s">
        <v>178</v>
      </c>
      <c r="F63" s="7" t="s">
        <v>180</v>
      </c>
      <c r="G63" s="7"/>
      <c r="H63" s="7" t="s">
        <v>175</v>
      </c>
      <c r="I63" s="41" t="s">
        <v>174</v>
      </c>
      <c r="J63" s="7" t="s">
        <v>176</v>
      </c>
      <c r="K63" s="7" t="s">
        <v>177</v>
      </c>
      <c r="L63" s="7" t="s">
        <v>38</v>
      </c>
      <c r="M63" s="7" t="s">
        <v>96</v>
      </c>
      <c r="N63" s="35" t="s">
        <v>96</v>
      </c>
      <c r="O63" s="1">
        <v>52</v>
      </c>
      <c r="Q63" s="3">
        <v>46002</v>
      </c>
      <c r="R63" s="25" t="str">
        <f t="shared" si="5"/>
        <v>Thursday</v>
      </c>
      <c r="S63" s="7"/>
      <c r="T63" s="7"/>
      <c r="U63" s="7" t="s">
        <v>229</v>
      </c>
      <c r="V63" s="41" t="s">
        <v>226</v>
      </c>
      <c r="W63" s="7"/>
      <c r="X63" s="7" t="s">
        <v>227</v>
      </c>
      <c r="Y63" s="7" t="s">
        <v>228</v>
      </c>
      <c r="Z63" s="7" t="s">
        <v>38</v>
      </c>
      <c r="AA63" s="7"/>
      <c r="AB63" s="7"/>
      <c r="AC63" s="7"/>
      <c r="AD63" s="41"/>
      <c r="AE63" s="7"/>
    </row>
    <row r="64" spans="1:31" ht="30" customHeight="1" x14ac:dyDescent="0.35">
      <c r="A64" s="3">
        <v>46003</v>
      </c>
      <c r="B64" s="25" t="str">
        <f t="shared" si="4"/>
        <v>Friday</v>
      </c>
      <c r="C64" s="7" t="s">
        <v>170</v>
      </c>
      <c r="D64" s="7" t="s">
        <v>173</v>
      </c>
      <c r="E64" s="7" t="s">
        <v>172</v>
      </c>
      <c r="F64" s="7" t="s">
        <v>171</v>
      </c>
      <c r="G64" s="7"/>
      <c r="H64" s="7" t="s">
        <v>175</v>
      </c>
      <c r="I64" s="41" t="s">
        <v>174</v>
      </c>
      <c r="J64" s="7" t="s">
        <v>197</v>
      </c>
      <c r="K64" s="7" t="s">
        <v>39</v>
      </c>
      <c r="L64" s="7" t="s">
        <v>38</v>
      </c>
      <c r="M64" s="45" t="s">
        <v>51</v>
      </c>
      <c r="N64" s="45" t="s">
        <v>52</v>
      </c>
      <c r="O64" s="1">
        <v>53</v>
      </c>
      <c r="Q64" s="3">
        <v>46003</v>
      </c>
      <c r="R64" s="25" t="str">
        <f t="shared" si="5"/>
        <v>Friday</v>
      </c>
      <c r="S64" s="7" t="s">
        <v>230</v>
      </c>
      <c r="T64" s="7" t="s">
        <v>233</v>
      </c>
      <c r="U64" s="7" t="s">
        <v>231</v>
      </c>
      <c r="V64" s="7" t="s">
        <v>232</v>
      </c>
      <c r="W64" s="7"/>
      <c r="X64" s="7" t="s">
        <v>182</v>
      </c>
      <c r="Y64" s="7" t="s">
        <v>182</v>
      </c>
      <c r="AB64" s="7"/>
      <c r="AC64" s="7"/>
      <c r="AD64" s="41"/>
      <c r="AE64" s="7"/>
    </row>
    <row r="65" spans="1:31" ht="30" customHeight="1" x14ac:dyDescent="0.35">
      <c r="A65" s="3">
        <v>46004</v>
      </c>
      <c r="B65" s="25" t="str">
        <f t="shared" si="4"/>
        <v>Saturday</v>
      </c>
      <c r="C65" s="7" t="s">
        <v>42</v>
      </c>
      <c r="D65" s="7" t="s">
        <v>42</v>
      </c>
      <c r="E65" s="7" t="s">
        <v>108</v>
      </c>
      <c r="F65" s="8"/>
      <c r="G65" s="8"/>
      <c r="H65" s="7" t="s">
        <v>212</v>
      </c>
      <c r="I65" s="7" t="s">
        <v>109</v>
      </c>
      <c r="J65" s="7" t="s">
        <v>183</v>
      </c>
      <c r="K65" s="7" t="s">
        <v>183</v>
      </c>
      <c r="L65" s="8"/>
      <c r="M65" s="8"/>
      <c r="N65" s="8"/>
      <c r="Q65" s="3">
        <v>46004</v>
      </c>
      <c r="R65" s="25" t="str">
        <f t="shared" si="5"/>
        <v>Saturday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30" customHeight="1" x14ac:dyDescent="0.35">
      <c r="A66" s="3">
        <v>46005</v>
      </c>
      <c r="B66" s="25" t="str">
        <f t="shared" si="4"/>
        <v>Sunday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Q66" s="3">
        <v>46005</v>
      </c>
      <c r="R66" s="25" t="str">
        <f t="shared" si="5"/>
        <v>Sunday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30" customHeight="1" x14ac:dyDescent="0.35">
      <c r="A67" s="46">
        <v>46006</v>
      </c>
      <c r="B67" s="47" t="s">
        <v>272</v>
      </c>
      <c r="C67" s="48" t="s">
        <v>62</v>
      </c>
      <c r="D67" s="49" t="s">
        <v>173</v>
      </c>
      <c r="E67" s="49" t="s">
        <v>172</v>
      </c>
      <c r="F67" s="49" t="s">
        <v>171</v>
      </c>
      <c r="G67" s="49"/>
      <c r="H67" s="49" t="s">
        <v>175</v>
      </c>
      <c r="I67" s="50" t="s">
        <v>174</v>
      </c>
      <c r="J67" s="51" t="s">
        <v>251</v>
      </c>
      <c r="K67" s="51" t="s">
        <v>252</v>
      </c>
      <c r="L67" s="49" t="s">
        <v>38</v>
      </c>
      <c r="M67" s="49" t="s">
        <v>96</v>
      </c>
      <c r="N67" s="52" t="s">
        <v>273</v>
      </c>
      <c r="O67" s="1">
        <v>54</v>
      </c>
      <c r="Q67" s="3">
        <v>46006</v>
      </c>
      <c r="R67" s="25" t="str">
        <f t="shared" si="5"/>
        <v>Monday</v>
      </c>
      <c r="S67" s="7" t="s">
        <v>230</v>
      </c>
      <c r="T67" s="7" t="s">
        <v>233</v>
      </c>
      <c r="U67" s="7" t="s">
        <v>231</v>
      </c>
      <c r="V67" s="7" t="s">
        <v>232</v>
      </c>
      <c r="W67" s="7"/>
      <c r="X67" s="7" t="s">
        <v>182</v>
      </c>
      <c r="Y67" s="7" t="s">
        <v>182</v>
      </c>
      <c r="AB67" s="7"/>
      <c r="AC67" s="7"/>
      <c r="AD67" s="41"/>
      <c r="AE67" s="7"/>
    </row>
    <row r="68" spans="1:31" ht="30" customHeight="1" x14ac:dyDescent="0.35">
      <c r="A68" s="46">
        <v>46007</v>
      </c>
      <c r="B68" s="47" t="s">
        <v>274</v>
      </c>
      <c r="C68" s="48" t="s">
        <v>196</v>
      </c>
      <c r="D68" s="49" t="s">
        <v>179</v>
      </c>
      <c r="E68" s="49" t="s">
        <v>178</v>
      </c>
      <c r="F68" s="49" t="s">
        <v>180</v>
      </c>
      <c r="G68" s="49" t="s">
        <v>155</v>
      </c>
      <c r="H68" s="49" t="s">
        <v>202</v>
      </c>
      <c r="I68" s="49" t="s">
        <v>181</v>
      </c>
      <c r="J68" s="49" t="s">
        <v>182</v>
      </c>
      <c r="K68" s="49" t="s">
        <v>182</v>
      </c>
      <c r="L68" s="49" t="s">
        <v>42</v>
      </c>
      <c r="M68" s="49" t="s">
        <v>42</v>
      </c>
      <c r="N68" s="53" t="s">
        <v>273</v>
      </c>
      <c r="O68" s="1">
        <v>55</v>
      </c>
      <c r="Q68" s="3">
        <v>46007</v>
      </c>
      <c r="R68" s="25" t="str">
        <f t="shared" si="5"/>
        <v>Tuesday</v>
      </c>
      <c r="S68" s="7"/>
      <c r="T68" s="7"/>
      <c r="U68" s="7" t="s">
        <v>229</v>
      </c>
      <c r="V68" s="41" t="s">
        <v>226</v>
      </c>
      <c r="W68" s="7"/>
      <c r="X68" s="7" t="s">
        <v>227</v>
      </c>
      <c r="Y68" s="7" t="s">
        <v>228</v>
      </c>
      <c r="Z68" s="7" t="s">
        <v>38</v>
      </c>
      <c r="AA68" s="7"/>
      <c r="AB68" s="7"/>
      <c r="AC68" s="7"/>
      <c r="AD68" s="41"/>
      <c r="AE68" s="7"/>
    </row>
    <row r="69" spans="1:31" ht="30" customHeight="1" x14ac:dyDescent="0.35">
      <c r="A69" s="46">
        <v>46008</v>
      </c>
      <c r="B69" s="47" t="s">
        <v>275</v>
      </c>
      <c r="C69" s="48" t="s">
        <v>236</v>
      </c>
      <c r="D69" s="49" t="s">
        <v>276</v>
      </c>
      <c r="E69" s="49" t="s">
        <v>264</v>
      </c>
      <c r="F69" s="49" t="s">
        <v>265</v>
      </c>
      <c r="G69" s="49"/>
      <c r="H69" s="49" t="s">
        <v>202</v>
      </c>
      <c r="I69" s="49" t="s">
        <v>181</v>
      </c>
      <c r="J69" s="49" t="s">
        <v>102</v>
      </c>
      <c r="K69" s="49" t="s">
        <v>102</v>
      </c>
      <c r="L69" s="49" t="s">
        <v>246</v>
      </c>
      <c r="M69" s="49"/>
      <c r="N69" s="53"/>
      <c r="O69" s="1">
        <v>56</v>
      </c>
      <c r="Q69" s="3">
        <v>46008</v>
      </c>
      <c r="R69" s="25" t="str">
        <f t="shared" si="5"/>
        <v>Wednesday</v>
      </c>
      <c r="S69" s="7" t="s">
        <v>230</v>
      </c>
      <c r="T69" s="7" t="s">
        <v>233</v>
      </c>
      <c r="U69" s="7" t="s">
        <v>231</v>
      </c>
      <c r="V69" s="7" t="s">
        <v>232</v>
      </c>
      <c r="W69" s="7"/>
      <c r="X69" s="7" t="s">
        <v>182</v>
      </c>
      <c r="Y69" s="7" t="s">
        <v>182</v>
      </c>
      <c r="AB69" s="7"/>
      <c r="AC69" s="7"/>
      <c r="AD69" s="41"/>
      <c r="AE69" s="7"/>
    </row>
    <row r="70" spans="1:31" ht="30" customHeight="1" x14ac:dyDescent="0.35">
      <c r="A70" s="46">
        <v>46009</v>
      </c>
      <c r="B70" s="47" t="s">
        <v>277</v>
      </c>
      <c r="C70" s="48" t="s">
        <v>196</v>
      </c>
      <c r="D70" s="49" t="s">
        <v>179</v>
      </c>
      <c r="E70" s="49" t="s">
        <v>178</v>
      </c>
      <c r="F70" s="49" t="s">
        <v>180</v>
      </c>
      <c r="G70" s="49"/>
      <c r="H70" s="49" t="s">
        <v>175</v>
      </c>
      <c r="I70" s="50" t="s">
        <v>174</v>
      </c>
      <c r="J70" s="48" t="s">
        <v>197</v>
      </c>
      <c r="K70" s="49" t="s">
        <v>39</v>
      </c>
      <c r="L70" s="49" t="s">
        <v>38</v>
      </c>
      <c r="M70" s="49" t="s">
        <v>96</v>
      </c>
      <c r="N70" s="53" t="s">
        <v>42</v>
      </c>
      <c r="O70" s="1">
        <v>57</v>
      </c>
      <c r="Q70" s="3">
        <v>46009</v>
      </c>
      <c r="R70" s="25" t="str">
        <f t="shared" si="5"/>
        <v>Thursday</v>
      </c>
      <c r="S70" s="7"/>
      <c r="T70" s="7"/>
      <c r="U70" s="7" t="s">
        <v>229</v>
      </c>
      <c r="V70" s="41" t="s">
        <v>226</v>
      </c>
      <c r="W70" s="7"/>
      <c r="X70" s="7" t="s">
        <v>227</v>
      </c>
      <c r="Y70" s="7" t="s">
        <v>228</v>
      </c>
      <c r="Z70" s="7" t="s">
        <v>38</v>
      </c>
      <c r="AA70" s="7"/>
      <c r="AB70" s="7"/>
      <c r="AC70" s="7"/>
      <c r="AD70" s="41"/>
      <c r="AE70" s="7"/>
    </row>
    <row r="71" spans="1:31" ht="30" customHeight="1" x14ac:dyDescent="0.35">
      <c r="A71" s="46">
        <v>46010</v>
      </c>
      <c r="B71" s="47" t="s">
        <v>278</v>
      </c>
      <c r="C71" s="48" t="s">
        <v>62</v>
      </c>
      <c r="D71" s="49" t="s">
        <v>263</v>
      </c>
      <c r="E71" s="49" t="s">
        <v>264</v>
      </c>
      <c r="F71" s="49" t="s">
        <v>265</v>
      </c>
      <c r="G71" s="49"/>
      <c r="H71" s="49" t="s">
        <v>175</v>
      </c>
      <c r="I71" s="50" t="s">
        <v>257</v>
      </c>
      <c r="J71" s="48" t="s">
        <v>98</v>
      </c>
      <c r="K71" s="49" t="s">
        <v>39</v>
      </c>
      <c r="L71" s="49" t="s">
        <v>38</v>
      </c>
      <c r="M71" s="49"/>
      <c r="N71" s="49"/>
      <c r="O71" s="1">
        <v>58</v>
      </c>
      <c r="Q71" s="3">
        <v>46010</v>
      </c>
      <c r="R71" s="25" t="str">
        <f t="shared" si="5"/>
        <v>Friday</v>
      </c>
      <c r="S71" s="7" t="s">
        <v>230</v>
      </c>
      <c r="T71" s="7" t="s">
        <v>233</v>
      </c>
      <c r="U71" s="7" t="s">
        <v>231</v>
      </c>
      <c r="V71" s="7" t="s">
        <v>232</v>
      </c>
      <c r="W71" s="7"/>
      <c r="X71" s="7" t="s">
        <v>182</v>
      </c>
      <c r="Y71" s="7" t="s">
        <v>182</v>
      </c>
      <c r="AB71" s="7"/>
      <c r="AC71" s="7"/>
      <c r="AD71" s="41"/>
      <c r="AE71" s="7"/>
    </row>
    <row r="72" spans="1:31" ht="30" customHeight="1" x14ac:dyDescent="0.35">
      <c r="A72" s="46">
        <v>46011</v>
      </c>
      <c r="B72" s="47" t="s">
        <v>279</v>
      </c>
      <c r="C72" s="48" t="s">
        <v>196</v>
      </c>
      <c r="D72" s="49" t="s">
        <v>179</v>
      </c>
      <c r="E72" s="49" t="s">
        <v>178</v>
      </c>
      <c r="F72" s="49" t="s">
        <v>180</v>
      </c>
      <c r="G72" s="49" t="s">
        <v>155</v>
      </c>
      <c r="H72" s="49" t="s">
        <v>202</v>
      </c>
      <c r="I72" s="49" t="s">
        <v>181</v>
      </c>
      <c r="J72" s="49"/>
      <c r="K72" s="49"/>
      <c r="L72" s="49"/>
      <c r="M72" s="49"/>
      <c r="N72" s="53"/>
      <c r="O72" s="1">
        <v>59</v>
      </c>
      <c r="Q72" s="3">
        <v>46011</v>
      </c>
      <c r="R72" s="25" t="str">
        <f t="shared" si="5"/>
        <v>Saturday</v>
      </c>
      <c r="S72" s="7"/>
      <c r="T72" s="7"/>
      <c r="U72" s="7"/>
      <c r="V72" s="7"/>
      <c r="W72" s="31"/>
      <c r="X72" s="7"/>
      <c r="Y72" s="7"/>
      <c r="Z72" s="7"/>
      <c r="AA72" s="7"/>
      <c r="AB72" s="7"/>
      <c r="AC72" s="7"/>
      <c r="AD72" s="41"/>
      <c r="AE72" s="35"/>
    </row>
    <row r="73" spans="1:31" ht="30" customHeight="1" x14ac:dyDescent="0.35">
      <c r="A73" s="3">
        <v>46012</v>
      </c>
      <c r="B73" s="25" t="str">
        <f t="shared" si="4"/>
        <v>Sunday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Q73" s="3">
        <v>46012</v>
      </c>
      <c r="R73" s="25" t="str">
        <f t="shared" si="5"/>
        <v>Sunday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30" customHeight="1" x14ac:dyDescent="0.35">
      <c r="A74" s="3">
        <v>46013</v>
      </c>
      <c r="B74" s="25" t="str">
        <f t="shared" si="4"/>
        <v>Monday</v>
      </c>
      <c r="C74" s="62" t="s">
        <v>12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4"/>
      <c r="Q74" s="3">
        <v>46013</v>
      </c>
      <c r="R74" s="25" t="str">
        <f t="shared" si="5"/>
        <v>Monday</v>
      </c>
      <c r="S74" s="62" t="s">
        <v>12</v>
      </c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4"/>
    </row>
    <row r="75" spans="1:31" ht="30" customHeight="1" x14ac:dyDescent="0.35">
      <c r="A75" s="3">
        <v>46014</v>
      </c>
      <c r="B75" s="25" t="str">
        <f t="shared" si="4"/>
        <v>Tuesday</v>
      </c>
      <c r="C75" s="65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7"/>
      <c r="Q75" s="3">
        <v>46014</v>
      </c>
      <c r="R75" s="25" t="str">
        <f t="shared" si="5"/>
        <v>Tuesday</v>
      </c>
      <c r="S75" s="65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7"/>
    </row>
    <row r="76" spans="1:31" ht="30" customHeight="1" x14ac:dyDescent="0.35">
      <c r="A76" s="3">
        <v>46015</v>
      </c>
      <c r="B76" s="25" t="str">
        <f t="shared" si="4"/>
        <v>Wednesday</v>
      </c>
      <c r="C76" s="65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7"/>
      <c r="Q76" s="3">
        <v>46015</v>
      </c>
      <c r="R76" s="25" t="str">
        <f t="shared" si="5"/>
        <v>Wednesday</v>
      </c>
      <c r="S76" s="65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7"/>
    </row>
    <row r="77" spans="1:31" ht="30" customHeight="1" x14ac:dyDescent="0.35">
      <c r="A77" s="3">
        <v>46016</v>
      </c>
      <c r="B77" s="25" t="str">
        <f t="shared" si="4"/>
        <v>Thursday</v>
      </c>
      <c r="C77" s="59" t="s">
        <v>40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1"/>
      <c r="Q77" s="3">
        <v>46016</v>
      </c>
      <c r="R77" s="25" t="str">
        <f t="shared" si="5"/>
        <v>Thursday</v>
      </c>
      <c r="S77" s="59" t="s">
        <v>40</v>
      </c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1"/>
    </row>
    <row r="78" spans="1:31" ht="18.75" customHeight="1" x14ac:dyDescent="0.35">
      <c r="A78" s="3">
        <v>46017</v>
      </c>
      <c r="B78" s="25" t="str">
        <f t="shared" si="4"/>
        <v>Friday</v>
      </c>
      <c r="C78" s="59" t="s">
        <v>12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1"/>
      <c r="Q78" s="3">
        <v>46017</v>
      </c>
      <c r="R78" s="25" t="str">
        <f t="shared" si="5"/>
        <v>Friday</v>
      </c>
      <c r="S78" s="59" t="s">
        <v>12</v>
      </c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1"/>
    </row>
    <row r="79" spans="1:31" ht="18.75" customHeight="1" x14ac:dyDescent="0.35">
      <c r="A79" s="3">
        <v>46018</v>
      </c>
      <c r="B79" s="25" t="str">
        <f t="shared" si="4"/>
        <v>Saturday</v>
      </c>
      <c r="C79" s="62" t="s">
        <v>199</v>
      </c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4"/>
      <c r="Q79" s="3">
        <v>46018</v>
      </c>
      <c r="R79" s="25" t="str">
        <f t="shared" si="5"/>
        <v>Saturday</v>
      </c>
      <c r="S79" s="62" t="s">
        <v>199</v>
      </c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4"/>
    </row>
    <row r="80" spans="1:31" ht="15" customHeight="1" x14ac:dyDescent="0.35">
      <c r="A80" s="3">
        <v>46019</v>
      </c>
      <c r="B80" s="25" t="str">
        <f t="shared" si="4"/>
        <v>Sunday</v>
      </c>
      <c r="C80" s="68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70"/>
      <c r="Q80" s="3">
        <v>46019</v>
      </c>
      <c r="R80" s="25" t="str">
        <f t="shared" si="5"/>
        <v>Sunday</v>
      </c>
      <c r="S80" s="68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70"/>
    </row>
    <row r="81" spans="1:31" ht="14.25" x14ac:dyDescent="0.35">
      <c r="A81" s="3">
        <v>46020</v>
      </c>
      <c r="B81" s="25" t="str">
        <f t="shared" si="4"/>
        <v>Monday</v>
      </c>
      <c r="C81" s="38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0"/>
      <c r="Q81" s="3">
        <v>46020</v>
      </c>
      <c r="R81" s="25" t="str">
        <f t="shared" si="5"/>
        <v>Monday</v>
      </c>
      <c r="S81" s="38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40"/>
    </row>
    <row r="82" spans="1:31" ht="14.25" x14ac:dyDescent="0.35">
      <c r="A82" s="3">
        <v>46021</v>
      </c>
      <c r="B82" s="25" t="str">
        <f t="shared" si="4"/>
        <v>Tuesday</v>
      </c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0"/>
      <c r="Q82" s="3">
        <v>46021</v>
      </c>
      <c r="R82" s="25" t="str">
        <f t="shared" si="5"/>
        <v>Tuesday</v>
      </c>
      <c r="S82" s="38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40"/>
    </row>
    <row r="83" spans="1:31" ht="14.25" x14ac:dyDescent="0.35">
      <c r="A83" s="3">
        <v>46022</v>
      </c>
      <c r="B83" s="25" t="str">
        <f t="shared" si="4"/>
        <v>Wednesday</v>
      </c>
      <c r="C83" s="38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0"/>
      <c r="Q83" s="3">
        <v>46022</v>
      </c>
      <c r="R83" s="25" t="str">
        <f t="shared" si="5"/>
        <v>Wednesday</v>
      </c>
      <c r="S83" s="38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40"/>
    </row>
    <row r="84" spans="1:31" ht="14.25" x14ac:dyDescent="0.35">
      <c r="A84" s="3">
        <v>46023</v>
      </c>
      <c r="B84" s="25" t="str">
        <f t="shared" si="4"/>
        <v>Thursday</v>
      </c>
      <c r="C84" s="38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40"/>
      <c r="Q84" s="3">
        <v>46023</v>
      </c>
      <c r="R84" s="25" t="str">
        <f t="shared" si="5"/>
        <v>Thursday</v>
      </c>
      <c r="S84" s="38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40"/>
    </row>
    <row r="85" spans="1:31" ht="27.75" customHeight="1" x14ac:dyDescent="0.35">
      <c r="A85" s="3">
        <v>46024</v>
      </c>
      <c r="B85" s="25" t="str">
        <f t="shared" si="4"/>
        <v>Friday</v>
      </c>
      <c r="C85" s="43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36"/>
      <c r="O85" s="1">
        <v>48</v>
      </c>
      <c r="Q85" s="3">
        <v>46024</v>
      </c>
      <c r="R85" s="25" t="str">
        <f t="shared" si="5"/>
        <v>Friday</v>
      </c>
      <c r="S85" s="43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36"/>
    </row>
    <row r="86" spans="1:31" ht="27.75" customHeight="1" x14ac:dyDescent="0.35">
      <c r="A86" s="3">
        <v>46025</v>
      </c>
      <c r="B86" s="25" t="str">
        <f t="shared" si="4"/>
        <v>Saturday</v>
      </c>
      <c r="C86" s="43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36"/>
      <c r="Q86" s="3">
        <v>46025</v>
      </c>
      <c r="R86" s="25" t="str">
        <f t="shared" si="5"/>
        <v>Saturday</v>
      </c>
      <c r="S86" s="43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36"/>
    </row>
    <row r="87" spans="1:31" ht="27.75" customHeight="1" x14ac:dyDescent="0.35">
      <c r="A87" s="3">
        <v>46026</v>
      </c>
      <c r="B87" s="25" t="str">
        <f t="shared" si="4"/>
        <v>Sunday</v>
      </c>
      <c r="C87" s="43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36"/>
      <c r="Q87" s="3">
        <v>46026</v>
      </c>
      <c r="R87" s="25" t="str">
        <f t="shared" si="5"/>
        <v>Sunday</v>
      </c>
      <c r="S87" s="43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36"/>
    </row>
    <row r="88" spans="1:31" ht="27.75" customHeight="1" x14ac:dyDescent="0.35">
      <c r="A88" s="3">
        <v>46027</v>
      </c>
      <c r="B88" s="25" t="str">
        <f t="shared" si="4"/>
        <v>Monday</v>
      </c>
      <c r="C88" s="59" t="s">
        <v>200</v>
      </c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1"/>
      <c r="O88" s="1">
        <v>49</v>
      </c>
      <c r="Q88" s="3">
        <v>46027</v>
      </c>
      <c r="R88" s="25" t="str">
        <f t="shared" si="5"/>
        <v>Monday</v>
      </c>
      <c r="S88" s="59" t="s">
        <v>200</v>
      </c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1"/>
    </row>
    <row r="89" spans="1:31" ht="18" customHeight="1" x14ac:dyDescent="0.35"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1:31" ht="18" customHeight="1" x14ac:dyDescent="0.35"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</row>
    <row r="91" spans="1:31" ht="18" customHeight="1" x14ac:dyDescent="0.35"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</row>
    <row r="92" spans="1:31" ht="18" customHeight="1" x14ac:dyDescent="0.35">
      <c r="C92" s="27" t="s">
        <v>51</v>
      </c>
      <c r="D92" s="28">
        <f>COUNTIF($C$25:$N$88, "VALU(A)/VALU('C)")</f>
        <v>15</v>
      </c>
      <c r="E92" s="28">
        <f>COUNTIF($C$25:$N$88, "VALU(A)/BS")</f>
        <v>0</v>
      </c>
      <c r="F92" s="28">
        <f>COUNTIF($C$25:$N$88, "VALU(A)")</f>
        <v>4</v>
      </c>
      <c r="G92" s="28">
        <f>COUNTIF($C$25:$N$88, "VALU(A)/VALU('C)/BS")</f>
        <v>2</v>
      </c>
      <c r="H92" s="28">
        <f>COUNTIF($C$25:$N$88, "VALU(A)/VALU(B)/VALU('C)/VALU(D)")</f>
        <v>1</v>
      </c>
      <c r="I92" s="28"/>
      <c r="J92" s="28"/>
      <c r="K92" s="28"/>
      <c r="L92" s="28"/>
      <c r="M92" s="28"/>
      <c r="N92" s="28">
        <f>SUM(D92:M92)</f>
        <v>22</v>
      </c>
    </row>
    <row r="93" spans="1:31" ht="18" customHeight="1" x14ac:dyDescent="0.35">
      <c r="C93" s="27" t="s">
        <v>52</v>
      </c>
      <c r="D93" s="28">
        <f>COUNTIF($C$25:$N$88, "VALU(B)/VALU(D)")</f>
        <v>18</v>
      </c>
      <c r="E93" s="28">
        <f>COUNTIF($C$25:$N$88, "VALU(B)")</f>
        <v>3</v>
      </c>
      <c r="F93" s="28"/>
      <c r="G93" s="28">
        <f>COUNTIF($C$25:$N$88, "DC(A)/DRM(B)")</f>
        <v>0</v>
      </c>
      <c r="H93" s="28">
        <f>COUNTIF($C$25:$N$88, "VALU(A)/VALU(B)/VALU('C)/VALU(D)")</f>
        <v>1</v>
      </c>
      <c r="I93" s="28"/>
      <c r="J93" s="28"/>
      <c r="K93" s="28"/>
      <c r="L93" s="28"/>
      <c r="M93" s="28"/>
      <c r="N93" s="28">
        <f t="shared" ref="N93:N133" si="6">SUM(D93:M93)</f>
        <v>22</v>
      </c>
    </row>
    <row r="94" spans="1:31" ht="18" customHeight="1" x14ac:dyDescent="0.35">
      <c r="C94" s="27" t="s">
        <v>106</v>
      </c>
      <c r="D94" s="28">
        <f>COUNTIF($C$25:$N$88, "VALU(A)/VALU('C)")</f>
        <v>15</v>
      </c>
      <c r="E94" s="28">
        <f>COUNTIF($C$25:$N$88, "VALU('C)")</f>
        <v>3</v>
      </c>
      <c r="F94" s="28">
        <f>COUNTIF($C$25:$N$88, "DRM(A)/DRM('C)/ML&amp;AI('C)")</f>
        <v>0</v>
      </c>
      <c r="G94" s="28">
        <f>COUNTIF($C$25:$N$88, "VALU(A)/VALU('C)/BS")</f>
        <v>2</v>
      </c>
      <c r="H94" s="28">
        <f>COUNTIF($C$25:$N$88, "VALU(A)/VALU(B)/VALU('C)/VALU(D)")</f>
        <v>1</v>
      </c>
      <c r="I94" s="28"/>
      <c r="J94" s="28"/>
      <c r="K94" s="28"/>
      <c r="L94" s="28"/>
      <c r="M94" s="28"/>
      <c r="N94" s="28">
        <f t="shared" si="6"/>
        <v>21</v>
      </c>
    </row>
    <row r="95" spans="1:31" ht="18" customHeight="1" x14ac:dyDescent="0.35">
      <c r="C95" s="27" t="s">
        <v>109</v>
      </c>
      <c r="D95" s="28">
        <f>COUNTIF($C$25:$N$88, "VALU(B)/VALU(D)")</f>
        <v>18</v>
      </c>
      <c r="E95" s="28">
        <f>COUNTIF($C$25:$N$88, "VALU(D)")</f>
        <v>3</v>
      </c>
      <c r="F95" s="28">
        <f>COUNTIF($C$25:$N$88, "DRM(D)/LSS(A)")</f>
        <v>0</v>
      </c>
      <c r="G95" s="28"/>
      <c r="H95" s="28">
        <f>COUNTIF($C$25:$N$88, "VALU(A)/VALU(B)/VALU('C)/VALU(D)")</f>
        <v>1</v>
      </c>
      <c r="I95" s="28"/>
      <c r="J95" s="28"/>
      <c r="K95" s="28"/>
      <c r="L95" s="28"/>
      <c r="M95" s="28"/>
      <c r="N95" s="28">
        <f t="shared" si="6"/>
        <v>22</v>
      </c>
    </row>
    <row r="96" spans="1:31" ht="18" customHeight="1" x14ac:dyDescent="0.35">
      <c r="C96" s="27" t="s">
        <v>62</v>
      </c>
      <c r="D96" s="28">
        <f>COUNTIF($C$25:$N$88, "DRM(A)/DRM('C)")</f>
        <v>17</v>
      </c>
      <c r="E96" s="28">
        <f>COUNTIF($C$25:$N$88, "DRM(A)")</f>
        <v>2</v>
      </c>
      <c r="F96" s="28">
        <f>COUNTIF($C$25:$N$88, "INB(A)/DADM")</f>
        <v>0</v>
      </c>
      <c r="G96" s="28">
        <f>COUNTIF($C$25:$N$88, "INB(A)/SCM(B)")</f>
        <v>0</v>
      </c>
      <c r="H96" s="28"/>
      <c r="I96" s="28"/>
      <c r="J96" s="28"/>
      <c r="K96" s="28"/>
      <c r="L96" s="28"/>
      <c r="M96" s="28"/>
      <c r="N96" s="28">
        <f t="shared" si="6"/>
        <v>19</v>
      </c>
    </row>
    <row r="97" spans="3:14" ht="18" customHeight="1" x14ac:dyDescent="0.35">
      <c r="C97" s="27" t="s">
        <v>63</v>
      </c>
      <c r="D97" s="28">
        <f>COUNTIF($C$25:$N$88, "INB('C)/SCM(A)/DRM(B)")</f>
        <v>18</v>
      </c>
      <c r="E97" s="28">
        <f>COUNTIF($C$25:$N$88, "INB('C)/DRM(B)")</f>
        <v>1</v>
      </c>
      <c r="F97" s="28">
        <f>COUNTIF($C$25:$N$88, "SCM(A)/DRM(B)")</f>
        <v>0</v>
      </c>
      <c r="G97" s="28"/>
      <c r="H97" s="28"/>
      <c r="I97" s="28"/>
      <c r="J97" s="28"/>
      <c r="K97" s="28"/>
      <c r="L97" s="28"/>
      <c r="M97" s="28"/>
      <c r="N97" s="28">
        <f t="shared" si="6"/>
        <v>19</v>
      </c>
    </row>
    <row r="98" spans="3:14" ht="18" customHeight="1" x14ac:dyDescent="0.35">
      <c r="C98" s="27" t="s">
        <v>234</v>
      </c>
      <c r="D98" s="28">
        <f>COUNTIF($C$25:$N$88, "DRM(A)/DRM('C)")</f>
        <v>17</v>
      </c>
      <c r="E98" s="28">
        <f>COUNTIF($C$25:$N$88, "INB('C)")</f>
        <v>0</v>
      </c>
      <c r="F98" s="28"/>
      <c r="G98" s="28"/>
      <c r="H98" s="28"/>
      <c r="I98" s="28"/>
      <c r="J98" s="28"/>
      <c r="K98" s="28"/>
      <c r="L98" s="28"/>
      <c r="M98" s="28"/>
      <c r="N98" s="28">
        <f t="shared" si="6"/>
        <v>17</v>
      </c>
    </row>
    <row r="99" spans="3:14" ht="18" customHeight="1" x14ac:dyDescent="0.35">
      <c r="C99" s="27" t="s">
        <v>64</v>
      </c>
      <c r="D99" s="28">
        <f>COUNTIF($C$25:$N$88, "INB(A)/SCM(B)/PDBE(B)")</f>
        <v>18</v>
      </c>
      <c r="E99" s="28">
        <f>COUNTIF($C$25:$N$88, "INB(A)/SCM(B)")</f>
        <v>0</v>
      </c>
      <c r="F99" s="28">
        <f>COUNTIF($C$25:$N$88, "INB(A)/PDBE(B)")</f>
        <v>2</v>
      </c>
      <c r="G99" s="28"/>
      <c r="H99" s="28"/>
      <c r="I99" s="28"/>
      <c r="J99" s="28"/>
      <c r="K99" s="28"/>
      <c r="L99" s="28"/>
      <c r="M99" s="28"/>
      <c r="N99" s="28">
        <f t="shared" si="6"/>
        <v>20</v>
      </c>
    </row>
    <row r="100" spans="3:14" ht="18" customHeight="1" x14ac:dyDescent="0.35">
      <c r="C100" s="27" t="s">
        <v>65</v>
      </c>
      <c r="D100" s="28">
        <f>COUNTIF($C$25:$N$88, "INB(B)/SCM('C)/PDBE(A)")</f>
        <v>18</v>
      </c>
      <c r="E100" s="28">
        <f>COUNTIF($C$25:$N$88, "INB(B)/SCM('C)")</f>
        <v>0</v>
      </c>
      <c r="F100" s="28">
        <f>COUNTIF($C$25:$N$88, "INB(B)/PDBE(A)")</f>
        <v>2</v>
      </c>
      <c r="G100" s="28">
        <f>COUNTIF($C$25:$N$88, "INB(B)")</f>
        <v>0</v>
      </c>
      <c r="H100" s="28"/>
      <c r="I100" s="28"/>
      <c r="J100" s="28"/>
      <c r="K100" s="28"/>
      <c r="L100" s="28"/>
      <c r="M100" s="28"/>
      <c r="N100" s="28">
        <f t="shared" si="6"/>
        <v>20</v>
      </c>
    </row>
    <row r="101" spans="3:14" ht="18" customHeight="1" x14ac:dyDescent="0.35">
      <c r="C101" s="27" t="s">
        <v>235</v>
      </c>
      <c r="D101" s="28">
        <f>COUNTIF($C$25:$N$88, "INB('C)/SCM(A)/DRM(B)")</f>
        <v>18</v>
      </c>
      <c r="E101" s="28">
        <f>COUNTIF($C$25:$N$88, "INB('C)/DRM(B)")</f>
        <v>1</v>
      </c>
      <c r="F101" s="28"/>
      <c r="G101" s="28"/>
      <c r="H101" s="28"/>
      <c r="I101" s="28"/>
      <c r="J101" s="28"/>
      <c r="K101" s="28"/>
      <c r="L101" s="28"/>
      <c r="M101" s="28"/>
      <c r="N101" s="28">
        <f t="shared" si="6"/>
        <v>19</v>
      </c>
    </row>
    <row r="102" spans="3:14" ht="18" customHeight="1" x14ac:dyDescent="0.35">
      <c r="C102" s="27" t="s">
        <v>236</v>
      </c>
      <c r="D102" s="28">
        <f>COUNTIF($C$25:$N$88, "CC&amp;AU(A)/ML&amp;AI(B)/IMC(A)")</f>
        <v>17</v>
      </c>
      <c r="E102" s="28">
        <f>COUNTIF($C$25:$N$88, "CC&amp;AU(A)/CC&amp;AU(B)")</f>
        <v>0</v>
      </c>
      <c r="F102" s="28">
        <f>COUNTIF($C$25:$N$88, "CC&amp;AU(A)/ML&amp;AI(B)")</f>
        <v>2</v>
      </c>
      <c r="G102" s="28"/>
      <c r="H102" s="28"/>
      <c r="I102" s="28"/>
      <c r="J102" s="28"/>
      <c r="K102" s="28"/>
      <c r="L102" s="28"/>
      <c r="M102" s="28"/>
      <c r="N102" s="28">
        <f t="shared" si="6"/>
        <v>19</v>
      </c>
    </row>
    <row r="103" spans="3:14" ht="18" customHeight="1" x14ac:dyDescent="0.35">
      <c r="C103" s="27" t="s">
        <v>237</v>
      </c>
      <c r="D103" s="28">
        <f>COUNTIF($C$25:$N$88, "CC&amp;AU(B)/ML&amp;AI(A)/LSS(B)")</f>
        <v>19</v>
      </c>
      <c r="E103" s="28">
        <f>COUNTIF($C$25:$N$88, "CC&amp;AU(A)/CC&amp;AU(B)")</f>
        <v>0</v>
      </c>
      <c r="F103" s="28">
        <f>COUNTIF($C$25:$N$88, "ML&amp;AI('C)/D&amp;IT")</f>
        <v>0</v>
      </c>
      <c r="G103" s="28"/>
      <c r="H103" s="28"/>
      <c r="I103" s="28"/>
      <c r="J103" s="28"/>
      <c r="K103" s="28"/>
      <c r="L103" s="28"/>
      <c r="M103" s="28"/>
      <c r="N103" s="28">
        <f t="shared" si="6"/>
        <v>19</v>
      </c>
    </row>
    <row r="104" spans="3:14" ht="18" customHeight="1" x14ac:dyDescent="0.35">
      <c r="C104" s="9" t="s">
        <v>238</v>
      </c>
      <c r="D104" s="28">
        <f>COUNTIF($C$25:$N$88, "CC&amp;AU(A)/ML&amp;AI(B)/IMC(A)")</f>
        <v>17</v>
      </c>
      <c r="E104" s="28">
        <f>COUNTIF($C$25:$N$88, "ML&amp;AI(B)/IMC(A)")</f>
        <v>0</v>
      </c>
      <c r="F104" s="28">
        <f>COUNTIF($C$25:$N$88, "IMC(A)/IMC(B)")</f>
        <v>7</v>
      </c>
      <c r="G104" s="2"/>
      <c r="H104" s="2"/>
      <c r="I104" s="2"/>
      <c r="J104" s="2"/>
      <c r="K104" s="2"/>
      <c r="L104" s="2"/>
      <c r="M104" s="2"/>
      <c r="N104" s="28">
        <f t="shared" si="6"/>
        <v>24</v>
      </c>
    </row>
    <row r="105" spans="3:14" ht="18" customHeight="1" x14ac:dyDescent="0.35">
      <c r="C105" s="9" t="s">
        <v>183</v>
      </c>
      <c r="D105" s="28">
        <f>COUNTIF($C$25:$N$88, "IMC(B)")</f>
        <v>14</v>
      </c>
      <c r="E105" s="28">
        <f>COUNTIF($C$25:$N$88, "IMC(A)/IMC(B)")</f>
        <v>7</v>
      </c>
      <c r="F105" s="28"/>
      <c r="G105" s="2"/>
      <c r="H105" s="2"/>
      <c r="I105" s="2"/>
      <c r="J105" s="2"/>
      <c r="K105" s="2"/>
      <c r="L105" s="2"/>
      <c r="M105" s="2"/>
      <c r="N105" s="28">
        <f t="shared" si="6"/>
        <v>21</v>
      </c>
    </row>
    <row r="106" spans="3:14" ht="18" customHeight="1" x14ac:dyDescent="0.35">
      <c r="C106" s="9" t="s">
        <v>16</v>
      </c>
      <c r="D106" s="28">
        <f>COUNTIF($C$25:$N$88, "B2B(A)/B2B('C)/AN(A)/TEOM(B)")</f>
        <v>20</v>
      </c>
      <c r="E106" s="28">
        <f>COUNTIF($C$25:$N$88, "B2B(A)/B2B('C)/TEOM(B)")</f>
        <v>0</v>
      </c>
      <c r="F106" s="28">
        <f>COUNTIF($C$25:$N$88, "B2B(A)/B2B('C)/AN(A)")</f>
        <v>1</v>
      </c>
      <c r="G106" s="2">
        <f>COUNTIF($C$25:$N$77, "B2B(B)/T&amp;D")</f>
        <v>0</v>
      </c>
      <c r="H106" s="2">
        <f>COUNTIF($C$25:$N$77, "B2B(B)/T&amp;D")</f>
        <v>0</v>
      </c>
      <c r="I106" s="2"/>
      <c r="J106" s="2"/>
      <c r="K106" s="2"/>
      <c r="L106" s="2"/>
      <c r="M106" s="2"/>
      <c r="N106" s="28">
        <f t="shared" si="6"/>
        <v>21</v>
      </c>
    </row>
    <row r="107" spans="3:14" ht="18" customHeight="1" x14ac:dyDescent="0.35">
      <c r="C107" s="9" t="s">
        <v>17</v>
      </c>
      <c r="D107" s="28">
        <f>COUNTIF($C$25:$N$88, "B2B(B)/AN(B)")</f>
        <v>21</v>
      </c>
      <c r="E107" s="28">
        <f>COUNTIF($C$25:$N$88, "B2B(B)")</f>
        <v>0</v>
      </c>
      <c r="F107" s="2"/>
      <c r="G107" s="2"/>
      <c r="H107" s="2"/>
      <c r="I107" s="2"/>
      <c r="J107" s="2"/>
      <c r="K107" s="2"/>
      <c r="L107" s="2"/>
      <c r="M107" s="2"/>
      <c r="N107" s="28">
        <f t="shared" si="6"/>
        <v>21</v>
      </c>
    </row>
    <row r="108" spans="3:14" ht="18" customHeight="1" x14ac:dyDescent="0.35">
      <c r="C108" s="9" t="s">
        <v>239</v>
      </c>
      <c r="D108" s="28">
        <f>COUNTIF($C$25:$N$88, "B2B(A)/B2B('C)/AN(A)/TEOM(B)")</f>
        <v>20</v>
      </c>
      <c r="E108" s="28">
        <f>COUNTIF($C$25:$N$88, "B2B(A)/B2B('C)/TEOM(B)")</f>
        <v>0</v>
      </c>
      <c r="F108" s="28">
        <f>COUNTIF($C$25:$N$88, "B2B(A)/B2B('C)/AN(A)")</f>
        <v>1</v>
      </c>
      <c r="G108" s="2"/>
      <c r="H108" s="2"/>
      <c r="I108" s="2"/>
      <c r="J108" s="2"/>
      <c r="K108" s="2"/>
      <c r="L108" s="2"/>
      <c r="M108" s="2"/>
      <c r="N108" s="28">
        <f t="shared" si="6"/>
        <v>21</v>
      </c>
    </row>
    <row r="109" spans="3:14" ht="18" customHeight="1" x14ac:dyDescent="0.35">
      <c r="C109" s="9" t="s">
        <v>107</v>
      </c>
      <c r="D109" s="28">
        <f>COUNTIF($C$25:$N$88, "DADM/SMKT(B)/SMKT(A)")</f>
        <v>16</v>
      </c>
      <c r="E109" s="28">
        <f>COUNTIF($C$25:$N$88, "SMKT(A)")</f>
        <v>1</v>
      </c>
      <c r="F109" s="28">
        <f>COUNTIF($C$25:$N$88, "DADM/SMKT(A)")</f>
        <v>3</v>
      </c>
      <c r="G109" s="28">
        <f>COUNTIF($C$25:$N$88, "SMKT(A)/SMKT(B)")</f>
        <v>3</v>
      </c>
      <c r="H109" s="2">
        <f>COUNTIF($C$25:$N$77, "B2B(B)/T&amp;D")</f>
        <v>0</v>
      </c>
      <c r="I109" s="2"/>
      <c r="J109" s="2"/>
      <c r="K109" s="2"/>
      <c r="L109" s="2"/>
      <c r="M109" s="2"/>
      <c r="N109" s="28">
        <f t="shared" si="6"/>
        <v>23</v>
      </c>
    </row>
    <row r="110" spans="3:14" ht="18" customHeight="1" x14ac:dyDescent="0.35">
      <c r="C110" s="9" t="s">
        <v>108</v>
      </c>
      <c r="D110" s="28">
        <f>COUNTIF($C$25:$N$88, "DADM/SMKT(B)/SMKT(A)")</f>
        <v>16</v>
      </c>
      <c r="E110" s="28">
        <f>COUNTIF($C$25:$N$88, "SMKT(B)")</f>
        <v>2</v>
      </c>
      <c r="F110" s="28">
        <f>COUNTIF($C$25:$N$88, "SMKT(A)/SMKT(B)")</f>
        <v>3</v>
      </c>
      <c r="G110" s="28">
        <f>COUNTIF($C$25:$N$88, "SMKT")</f>
        <v>0</v>
      </c>
      <c r="H110" s="28"/>
      <c r="I110" s="2"/>
      <c r="J110" s="2"/>
      <c r="K110" s="2"/>
      <c r="L110" s="2"/>
      <c r="M110" s="2"/>
      <c r="N110" s="28">
        <f t="shared" si="6"/>
        <v>21</v>
      </c>
    </row>
    <row r="111" spans="3:14" ht="18" customHeight="1" x14ac:dyDescent="0.35">
      <c r="C111" s="9" t="s">
        <v>39</v>
      </c>
      <c r="D111" s="28">
        <f>COUNTIF($C$25:$N$88, "DV&amp;VS(B)/DV&amp;VS('C)/DM(B)")</f>
        <v>11</v>
      </c>
      <c r="E111" s="28">
        <f>COUNTIF($C$25:$N$88, "DV&amp;VS(B)/DM(B)")</f>
        <v>0</v>
      </c>
      <c r="F111" s="28">
        <f>COUNTIF($C$25:$N$88, "DM(B)")</f>
        <v>6</v>
      </c>
      <c r="G111" s="28">
        <f>COUNTIF($C$25:$N$88, "DV&amp;VS('C)/DM(B)")</f>
        <v>2</v>
      </c>
      <c r="H111" s="2"/>
      <c r="I111" s="2"/>
      <c r="J111" s="2"/>
      <c r="K111" s="2"/>
      <c r="L111" s="2"/>
      <c r="M111" s="2"/>
      <c r="N111" s="28">
        <f t="shared" si="6"/>
        <v>19</v>
      </c>
    </row>
    <row r="112" spans="3:14" ht="18" customHeight="1" x14ac:dyDescent="0.35">
      <c r="C112" s="9" t="s">
        <v>38</v>
      </c>
      <c r="D112" s="28">
        <f>COUNTIF($C$25:$N$88, "DM(A)")</f>
        <v>19</v>
      </c>
      <c r="E112" s="28">
        <f>COUNTIF($C$25:$N$88, "DM(A)/DC(B)")</f>
        <v>0</v>
      </c>
      <c r="F112" s="28">
        <f>COUNTIF($C$25:$N$88, "DM(A)/DM(B)")</f>
        <v>0</v>
      </c>
      <c r="G112" s="2"/>
      <c r="H112" s="2"/>
      <c r="I112" s="2"/>
      <c r="J112" s="2"/>
      <c r="K112" s="2"/>
      <c r="L112" s="2"/>
      <c r="M112" s="2"/>
      <c r="N112" s="28">
        <f t="shared" si="6"/>
        <v>19</v>
      </c>
    </row>
    <row r="113" spans="3:14" ht="18" customHeight="1" x14ac:dyDescent="0.35">
      <c r="C113" s="9" t="s">
        <v>54</v>
      </c>
      <c r="D113" s="28">
        <f>COUNTIF($C$25:$N$88, "INB(B)/SCM('C)/PDBE(A)")</f>
        <v>18</v>
      </c>
      <c r="E113" s="28">
        <f>COUNTIF($C$25:$N$88, "INB(B)/PDBE(A)")</f>
        <v>2</v>
      </c>
      <c r="F113" s="28">
        <f>COUNTIF($C$25:$N$88, "SCM('C)/PDBE(A)")</f>
        <v>0</v>
      </c>
      <c r="G113" s="2"/>
      <c r="H113" s="2"/>
      <c r="I113" s="2"/>
      <c r="J113" s="2"/>
      <c r="K113" s="2"/>
      <c r="L113" s="2"/>
      <c r="M113" s="2"/>
      <c r="N113" s="28">
        <f t="shared" si="6"/>
        <v>20</v>
      </c>
    </row>
    <row r="114" spans="3:14" ht="18" customHeight="1" x14ac:dyDescent="0.35">
      <c r="C114" s="9" t="s">
        <v>53</v>
      </c>
      <c r="D114" s="28">
        <f>COUNTIF($C$25:$N$88, "INB(A)/SCM(B)/PDBE(B)")</f>
        <v>18</v>
      </c>
      <c r="E114" s="28">
        <f>COUNTIF($C$25:$N$88, "INB(A)/PDBE(B)")</f>
        <v>2</v>
      </c>
      <c r="F114" s="28">
        <f>COUNTIF($C$25:$N$88, "SCM(B)/PDBE(B)")</f>
        <v>0</v>
      </c>
      <c r="G114" s="2"/>
      <c r="H114" s="2"/>
      <c r="I114" s="2"/>
      <c r="J114" s="2"/>
      <c r="K114" s="2"/>
      <c r="L114" s="2"/>
      <c r="M114" s="2"/>
      <c r="N114" s="28">
        <f t="shared" si="6"/>
        <v>20</v>
      </c>
    </row>
    <row r="115" spans="3:14" ht="18" customHeight="1" x14ac:dyDescent="0.35">
      <c r="C115" s="9" t="s">
        <v>240</v>
      </c>
      <c r="D115" s="28">
        <f>COUNTIF($C$25:$N$88, "B2B(A)/B2B('C)/AN(A)/TEOM(B)")</f>
        <v>20</v>
      </c>
      <c r="E115" s="28">
        <f>COUNTIF($C$25:$N$88, "B2B(A)/B2B('C)/AN(A)")</f>
        <v>1</v>
      </c>
      <c r="F115" s="2"/>
      <c r="G115" s="2"/>
      <c r="H115" s="2"/>
      <c r="I115" s="2"/>
      <c r="J115" s="2"/>
      <c r="K115" s="2"/>
      <c r="L115" s="2"/>
      <c r="M115" s="2"/>
      <c r="N115" s="28">
        <f t="shared" si="6"/>
        <v>21</v>
      </c>
    </row>
    <row r="116" spans="3:14" ht="18" customHeight="1" x14ac:dyDescent="0.35">
      <c r="C116" s="27" t="s">
        <v>241</v>
      </c>
      <c r="D116" s="28">
        <f>COUNTIF($C$25:$N$88, "B2B(B)/AN(B)")</f>
        <v>21</v>
      </c>
      <c r="E116" s="28">
        <f>COUNTIF($C$25:$N$88, "AN(B)")</f>
        <v>0</v>
      </c>
      <c r="F116" s="28"/>
      <c r="G116" s="28"/>
      <c r="H116" s="28"/>
      <c r="I116" s="28"/>
      <c r="J116" s="28"/>
      <c r="K116" s="28"/>
      <c r="L116" s="28"/>
      <c r="M116" s="28"/>
      <c r="N116" s="28">
        <f t="shared" si="6"/>
        <v>21</v>
      </c>
    </row>
    <row r="117" spans="3:14" ht="18" customHeight="1" x14ac:dyDescent="0.35">
      <c r="C117" s="27" t="s">
        <v>110</v>
      </c>
      <c r="D117" s="28">
        <f>COUNTIF($C$25:$N$88, "TEOM(A)/CSE/DV&amp;VS(B)/DV&amp;VS('C)")</f>
        <v>11</v>
      </c>
      <c r="E117" s="28">
        <f>COUNTIF($C$25:$N$88, "TEOM(A)/DV&amp;VS(B)/DV&amp;VS('C)")</f>
        <v>2</v>
      </c>
      <c r="F117" s="28">
        <f>COUNTIF($C$25:$N$88, "TEOM(A)/CSE")</f>
        <v>5</v>
      </c>
      <c r="G117" s="28">
        <f>COUNTIF($C$25:$N$88, "TEOM(A)/CSE/DV&amp;VS(B)")</f>
        <v>0</v>
      </c>
      <c r="H117" s="28"/>
      <c r="I117" s="28"/>
      <c r="J117" s="28"/>
      <c r="K117" s="28"/>
      <c r="L117" s="28"/>
      <c r="M117" s="28"/>
      <c r="N117" s="28">
        <f t="shared" si="6"/>
        <v>18</v>
      </c>
    </row>
    <row r="118" spans="3:14" ht="18" customHeight="1" x14ac:dyDescent="0.35">
      <c r="C118" s="27" t="s">
        <v>111</v>
      </c>
      <c r="D118" s="28">
        <f>COUNTIF($C$25:$N$88, "B2B(A)/B2B('C)/AN(A)/TEOM(B)")</f>
        <v>20</v>
      </c>
      <c r="E118" s="28">
        <f>COUNTIF($C$25:$N$88, "B2B(A)/B2B('C)/TEOM(B)")</f>
        <v>0</v>
      </c>
      <c r="F118" s="28">
        <f>COUNTIF($C$25:$N$88, "B2B('C)/AN(A)/TEOM(B)")</f>
        <v>0</v>
      </c>
      <c r="G118" s="28"/>
      <c r="H118" s="28">
        <f>COUNTIF($C$25:$N$88, "TEOM(B)")</f>
        <v>0</v>
      </c>
      <c r="I118" s="28"/>
      <c r="J118" s="28"/>
      <c r="K118" s="28"/>
      <c r="L118" s="28"/>
      <c r="M118" s="28"/>
      <c r="N118" s="28">
        <f t="shared" si="6"/>
        <v>20</v>
      </c>
    </row>
    <row r="119" spans="3:14" ht="18" customHeight="1" x14ac:dyDescent="0.35">
      <c r="C119" s="9" t="s">
        <v>102</v>
      </c>
      <c r="D119" s="28">
        <f>COUNTIF($C$25:$N$88, "DV&amp;VS(A)/DV&amp;VS(D)")</f>
        <v>24</v>
      </c>
      <c r="E119" s="28">
        <f>COUNTIF($C$25:$N$88, "DV&amp;VS(A)")</f>
        <v>2</v>
      </c>
      <c r="F119" s="28"/>
      <c r="G119" s="2"/>
      <c r="H119" s="2"/>
      <c r="I119" s="2"/>
      <c r="J119" s="2"/>
      <c r="K119" s="2"/>
      <c r="L119" s="2"/>
      <c r="M119" s="2"/>
      <c r="N119" s="28">
        <f t="shared" si="6"/>
        <v>26</v>
      </c>
    </row>
    <row r="120" spans="3:14" ht="18" customHeight="1" x14ac:dyDescent="0.35">
      <c r="C120" s="9" t="s">
        <v>103</v>
      </c>
      <c r="D120" s="28">
        <f>COUNTIF($C$25:$N$88, "TEOM(A)/CSE/DV&amp;VS(B)/DV&amp;VS('C)")</f>
        <v>11</v>
      </c>
      <c r="E120" s="28">
        <f>COUNTIF($C$25:$N$88, "CSE/DV&amp;VS(B)")</f>
        <v>0</v>
      </c>
      <c r="F120" s="28">
        <f>COUNTIF($C$25:$N$88, "DV&amp;VS(B)/DV&amp;VS('C)/DM(B)")</f>
        <v>11</v>
      </c>
      <c r="G120" s="28">
        <f>COUNTIF($C$25:$N$88, "TEOM(A)/CSE/DV&amp;VS(B)")</f>
        <v>0</v>
      </c>
      <c r="H120" s="28">
        <f>COUNTIF($C$25:$N$88, "TEOM(A)/DV&amp;VS(B)/DV&amp;VS('C)")</f>
        <v>2</v>
      </c>
      <c r="I120" s="28"/>
      <c r="J120" s="2"/>
      <c r="K120" s="2"/>
      <c r="L120" s="2"/>
      <c r="M120" s="2"/>
      <c r="N120" s="28">
        <f t="shared" si="6"/>
        <v>24</v>
      </c>
    </row>
    <row r="121" spans="3:14" ht="18" customHeight="1" x14ac:dyDescent="0.35">
      <c r="C121" s="9" t="s">
        <v>242</v>
      </c>
      <c r="D121" s="28">
        <f>COUNTIF($C$25:$N$88, "TEOM(A)/CSE/DV&amp;VS(B)/DV&amp;VS('C)")</f>
        <v>11</v>
      </c>
      <c r="E121" s="28">
        <f>COUNTIF($C$25:$N$88, "TEOM(A)/CSE/DV&amp;VS('C)")</f>
        <v>2</v>
      </c>
      <c r="F121" s="28">
        <f>COUNTIF($C$25:$N$88, "DV&amp;VS(B)/DV&amp;VS('C)/DM(B)")</f>
        <v>11</v>
      </c>
      <c r="G121" s="28">
        <f>COUNTIF($C$25:$N$88, "DV&amp;VS('C)/DM(B)")</f>
        <v>2</v>
      </c>
      <c r="H121" s="28">
        <f>COUNTIF($C$25:$N$88, "TEOM(A)/DV&amp;VS(B)/DV&amp;VS('C)")</f>
        <v>2</v>
      </c>
      <c r="I121" s="2"/>
      <c r="J121" s="2"/>
      <c r="K121" s="2"/>
      <c r="L121" s="2"/>
      <c r="M121" s="2"/>
      <c r="N121" s="28">
        <f t="shared" si="6"/>
        <v>28</v>
      </c>
    </row>
    <row r="122" spans="3:14" ht="18" customHeight="1" x14ac:dyDescent="0.35">
      <c r="C122" s="9" t="s">
        <v>243</v>
      </c>
      <c r="D122" s="28">
        <f>COUNTIF($C$25:$N$88, "DV&amp;VS(A)/DV&amp;VS(D)")</f>
        <v>24</v>
      </c>
      <c r="E122" s="28">
        <f>COUNTIF($C$25:$N$88, "DM(B)/DC(A)")</f>
        <v>0</v>
      </c>
      <c r="F122" s="28">
        <f>COUNTIF($C$25:$N$88, "SCM(A)/DC(A)")</f>
        <v>0</v>
      </c>
      <c r="G122" s="28">
        <f>COUNTIF($C$25:$N$88, "DC(A)/DC(B)")</f>
        <v>0</v>
      </c>
      <c r="H122" s="2"/>
      <c r="I122" s="2"/>
      <c r="J122" s="2"/>
      <c r="K122" s="2"/>
      <c r="L122" s="2"/>
      <c r="M122" s="2"/>
      <c r="N122" s="28">
        <f t="shared" si="6"/>
        <v>24</v>
      </c>
    </row>
    <row r="123" spans="3:14" ht="18" customHeight="1" x14ac:dyDescent="0.35">
      <c r="C123" s="9" t="s">
        <v>42</v>
      </c>
      <c r="D123" s="28">
        <f>COUNTIF($C$25:$N$88, "DC")</f>
        <v>21</v>
      </c>
      <c r="E123" s="28">
        <f>COUNTIF($C$25:$N$88, "DM(A)/DC(B)")</f>
        <v>0</v>
      </c>
      <c r="F123" s="28">
        <f>COUNTIF($C$25:$N$88, "SCM(B)/DC(B)")</f>
        <v>0</v>
      </c>
      <c r="G123" s="28">
        <f>COUNTIF($C$25:$N$88, "DC(A)/DC(B)")</f>
        <v>0</v>
      </c>
      <c r="H123" s="2"/>
      <c r="I123" s="2"/>
      <c r="J123" s="2"/>
      <c r="K123" s="2"/>
      <c r="L123" s="2"/>
      <c r="M123" s="2"/>
      <c r="N123" s="28">
        <f t="shared" si="6"/>
        <v>21</v>
      </c>
    </row>
    <row r="124" spans="3:14" ht="18" customHeight="1" x14ac:dyDescent="0.35">
      <c r="C124" s="9" t="s">
        <v>113</v>
      </c>
      <c r="D124" s="28">
        <f>COUNTIF($C$25:$N$88, "CC&amp;AU(B)/ML&amp;AI(A)/LSS(B)")</f>
        <v>19</v>
      </c>
      <c r="E124" s="28">
        <f>COUNTIF($C$25:$N$88, "ML&amp;AI(A)/LSS(B)")</f>
        <v>0</v>
      </c>
      <c r="F124" s="28"/>
      <c r="G124" s="2"/>
      <c r="H124" s="2"/>
      <c r="I124" s="2"/>
      <c r="J124" s="2"/>
      <c r="K124" s="2"/>
      <c r="L124" s="2"/>
      <c r="M124" s="2"/>
      <c r="N124" s="28">
        <f t="shared" si="6"/>
        <v>19</v>
      </c>
    </row>
    <row r="125" spans="3:14" ht="18" customHeight="1" x14ac:dyDescent="0.35">
      <c r="C125" s="9" t="s">
        <v>114</v>
      </c>
      <c r="D125" s="28">
        <f>COUNTIF($C$25:$N$88, "CC&amp;AU(A)/ML&amp;AI(B)/IMC(A)")</f>
        <v>17</v>
      </c>
      <c r="E125" s="28">
        <f>COUNTIF($C$25:$N$88, "ML&amp;AI(B)/IMC(A)")</f>
        <v>0</v>
      </c>
      <c r="F125" s="28">
        <f>COUNTIF($C$25:$N$88, "CC&amp;AU(A)/ML&amp;AI(B)")</f>
        <v>2</v>
      </c>
      <c r="G125" s="2"/>
      <c r="H125" s="2"/>
      <c r="I125" s="2"/>
      <c r="J125" s="2"/>
      <c r="K125" s="2"/>
      <c r="L125" s="2"/>
      <c r="M125" s="2"/>
      <c r="N125" s="28">
        <f t="shared" si="6"/>
        <v>19</v>
      </c>
    </row>
    <row r="126" spans="3:14" ht="18" customHeight="1" x14ac:dyDescent="0.35">
      <c r="C126" s="9" t="s">
        <v>87</v>
      </c>
      <c r="D126" s="28">
        <f>COUNTIF($C$25:$N$88, "DADM/SMKT(B)/SMKT(A)")</f>
        <v>16</v>
      </c>
      <c r="E126" s="28">
        <f>COUNTIF($C$25:$N$88, "DADM/SMKT(A)")</f>
        <v>3</v>
      </c>
      <c r="F126" s="28">
        <f>COUNTIF($C$25:$N$88, "SBM(B)/DADM")</f>
        <v>0</v>
      </c>
      <c r="G126" s="2"/>
      <c r="H126" s="28">
        <f>COUNTIF($C$25:$N$88, "DADM")</f>
        <v>1</v>
      </c>
      <c r="I126" s="2"/>
      <c r="J126" s="2"/>
      <c r="K126" s="2"/>
      <c r="L126" s="2"/>
      <c r="M126" s="2"/>
      <c r="N126" s="28">
        <f>SUM(D126:M126)</f>
        <v>20</v>
      </c>
    </row>
    <row r="127" spans="3:14" ht="18" customHeight="1" x14ac:dyDescent="0.35">
      <c r="C127" s="9" t="s">
        <v>117</v>
      </c>
      <c r="D127" s="28">
        <f>COUNTIF($C$25:$N$88, "CC&amp;AU(B)/ML&amp;AI(A)/LSS(B)")</f>
        <v>19</v>
      </c>
      <c r="E127" s="28">
        <f>COUNTIF($C$25:$N$88, "ML&amp;AI(A)/LSS(B)")</f>
        <v>0</v>
      </c>
      <c r="F127" s="28">
        <f>COUNTIF($C$25:$N$88, "LSS(A)/LSS(B)")</f>
        <v>0</v>
      </c>
      <c r="G127" s="2"/>
      <c r="H127" s="28"/>
      <c r="I127" s="2"/>
      <c r="J127" s="2"/>
      <c r="K127" s="2"/>
      <c r="L127" s="2"/>
      <c r="M127" s="2"/>
      <c r="N127" s="28">
        <f t="shared" si="6"/>
        <v>19</v>
      </c>
    </row>
    <row r="128" spans="3:14" ht="18" customHeight="1" x14ac:dyDescent="0.35">
      <c r="C128" s="9" t="s">
        <v>115</v>
      </c>
      <c r="D128" s="28">
        <f>COUNTIF($C$25:$N$88, "LSS(A)/BS")</f>
        <v>19</v>
      </c>
      <c r="E128" s="28">
        <f>COUNTIF($C$25:$N$88, "LSS(A)")</f>
        <v>0</v>
      </c>
      <c r="F128" s="28">
        <f>COUNTIF($C$25:$N$88, "LSS(A)/SMKT(A)")</f>
        <v>0</v>
      </c>
      <c r="G128" s="2"/>
      <c r="H128" s="28">
        <f>COUNTIF($C$25:$N$88, "LSS(A)/LSS(B)")</f>
        <v>0</v>
      </c>
      <c r="I128" s="2"/>
      <c r="J128" s="2"/>
      <c r="K128" s="2"/>
      <c r="L128" s="2"/>
      <c r="M128" s="2"/>
      <c r="N128" s="28">
        <f t="shared" si="6"/>
        <v>19</v>
      </c>
    </row>
    <row r="129" spans="3:14" ht="18" customHeight="1" x14ac:dyDescent="0.35">
      <c r="C129" s="9" t="s">
        <v>104</v>
      </c>
      <c r="D129" s="28">
        <f>COUNTIF($C$25:$N$88, "OMSD")</f>
        <v>21</v>
      </c>
      <c r="E129" s="28">
        <f>COUNTIF($C$25:$N$88, "OM&amp;SD")</f>
        <v>0</v>
      </c>
      <c r="F129" s="28"/>
      <c r="G129" s="2"/>
      <c r="H129" s="2"/>
      <c r="I129" s="2"/>
      <c r="J129" s="2"/>
      <c r="K129" s="2"/>
      <c r="L129" s="2"/>
      <c r="M129" s="2"/>
      <c r="N129" s="28">
        <f t="shared" si="6"/>
        <v>21</v>
      </c>
    </row>
    <row r="130" spans="3:14" ht="18" customHeight="1" x14ac:dyDescent="0.35">
      <c r="C130" s="9" t="s">
        <v>10</v>
      </c>
      <c r="D130" s="28">
        <f>COUNTIF($C$25:$N$88, "INB('C)/SCM(A)/DRM(B)")</f>
        <v>18</v>
      </c>
      <c r="E130" s="28">
        <f>COUNTIF($C$25:$N$88, "SCM(A)/DRM(B)")</f>
        <v>0</v>
      </c>
      <c r="F130" s="28">
        <f>COUNTIF($C$25:$N$88, "SCM(A)/SCM(B)/SCM('C)")</f>
        <v>0</v>
      </c>
      <c r="G130" s="2"/>
      <c r="H130" s="28"/>
      <c r="I130" s="2"/>
      <c r="J130" s="2"/>
      <c r="K130" s="2"/>
      <c r="L130" s="2"/>
      <c r="M130" s="2"/>
      <c r="N130" s="28">
        <f t="shared" si="6"/>
        <v>18</v>
      </c>
    </row>
    <row r="131" spans="3:14" ht="18" customHeight="1" x14ac:dyDescent="0.35">
      <c r="C131" s="9" t="s">
        <v>11</v>
      </c>
      <c r="D131" s="28">
        <f>COUNTIF($C$25:$N$88, "INB(A)/SCM(B)/PDBE(B)")</f>
        <v>18</v>
      </c>
      <c r="E131" s="28">
        <f>COUNTIF($C$25:$N$88, "SCM(B)/PDBE(B)")</f>
        <v>0</v>
      </c>
      <c r="F131" s="28">
        <f>COUNTIF($C$25:$N$88, "SCM(A)/SCM(B)/SCM('C)")</f>
        <v>0</v>
      </c>
      <c r="G131" s="28">
        <f>COUNTIF($C$25:$N$88, "INB(A)/SCM(B)")</f>
        <v>0</v>
      </c>
      <c r="H131" s="28"/>
      <c r="I131" s="2"/>
      <c r="J131" s="2"/>
      <c r="K131" s="2"/>
      <c r="L131" s="2"/>
      <c r="M131" s="2"/>
      <c r="N131" s="28">
        <f t="shared" si="6"/>
        <v>18</v>
      </c>
    </row>
    <row r="132" spans="3:14" ht="18" customHeight="1" x14ac:dyDescent="0.35">
      <c r="C132" s="9" t="s">
        <v>244</v>
      </c>
      <c r="D132" s="28">
        <f>COUNTIF($C$25:$N$88, "INB(B)/SCM('C)/PDBE(A)")</f>
        <v>18</v>
      </c>
      <c r="E132" s="28">
        <f>COUNTIF($C$25:$N$88, "SCM('C)/PDBE(A)")</f>
        <v>0</v>
      </c>
      <c r="F132" s="28">
        <f>COUNTIF($C$25:$N$88, "SCM(A)/SCM(B)/SCM('C)")</f>
        <v>0</v>
      </c>
      <c r="G132" s="28">
        <f>COUNTIF($C$25:$N$88, "INB(B)/SCM('C)")</f>
        <v>0</v>
      </c>
      <c r="H132" s="28"/>
      <c r="I132" s="2"/>
      <c r="J132" s="2"/>
      <c r="K132" s="2"/>
      <c r="L132" s="2"/>
      <c r="M132" s="2"/>
      <c r="N132" s="28">
        <f t="shared" si="6"/>
        <v>18</v>
      </c>
    </row>
    <row r="133" spans="3:14" ht="18" customHeight="1" x14ac:dyDescent="0.35">
      <c r="C133" s="9" t="s">
        <v>98</v>
      </c>
      <c r="D133" s="28">
        <f>COUNTIF($C$25:$N$88, "TEOM(A)/CSE/DV&amp;VS(B)/DV&amp;VS('C)")</f>
        <v>11</v>
      </c>
      <c r="E133" s="28">
        <f>COUNTIF($C$25:$N$88, "TEOM(A)/CSE")</f>
        <v>5</v>
      </c>
      <c r="F133" s="28">
        <f>COUNTIF($C$25:$N$88, "CSE/DV&amp;VS(B)")</f>
        <v>0</v>
      </c>
      <c r="G133" s="28">
        <f>COUNTIF($C$25:$N$88, "INB(A)/SCM(B)")</f>
        <v>0</v>
      </c>
      <c r="H133" s="28">
        <f>COUNTIF($C$25:$N$88, "TEOM(A)/CSE/DV&amp;VS('C)")</f>
        <v>2</v>
      </c>
      <c r="I133" s="2"/>
      <c r="J133" s="2"/>
      <c r="K133" s="2"/>
      <c r="L133" s="2"/>
      <c r="M133" s="2"/>
      <c r="N133" s="28">
        <f t="shared" si="6"/>
        <v>18</v>
      </c>
    </row>
    <row r="134" spans="3:14" ht="18" customHeight="1" x14ac:dyDescent="0.35">
      <c r="C134" s="9" t="s">
        <v>155</v>
      </c>
      <c r="D134" s="28">
        <f>COUNTIF($C$25:$N$88, "LSS(A)/BS")</f>
        <v>19</v>
      </c>
      <c r="E134" s="28">
        <f>COUNTIF($C$25:$N$88, "BS")</f>
        <v>12</v>
      </c>
      <c r="F134" s="28">
        <f>COUNTIF($C$25:$N$88, "VALU(A)/BS")</f>
        <v>0</v>
      </c>
      <c r="G134" s="28">
        <f>COUNTIF($C$25:$N$88, "VALU(A)/VALU('C)/BS")</f>
        <v>2</v>
      </c>
      <c r="H134" s="2"/>
      <c r="I134" s="2"/>
      <c r="J134" s="2"/>
      <c r="K134" s="2"/>
      <c r="L134" s="2"/>
      <c r="M134" s="2"/>
      <c r="N134" s="28">
        <f t="shared" ref="N134" si="7">SUM(D134:M134)</f>
        <v>33</v>
      </c>
    </row>
  </sheetData>
  <mergeCells count="18">
    <mergeCell ref="A1:A2"/>
    <mergeCell ref="B1:B2"/>
    <mergeCell ref="C74:N76"/>
    <mergeCell ref="C77:N77"/>
    <mergeCell ref="C78:N78"/>
    <mergeCell ref="R1:R2"/>
    <mergeCell ref="Q1:Q2"/>
    <mergeCell ref="C3:N3"/>
    <mergeCell ref="C88:N88"/>
    <mergeCell ref="O1:O2"/>
    <mergeCell ref="C79:N80"/>
    <mergeCell ref="S3:AE3"/>
    <mergeCell ref="AE1:AE2"/>
    <mergeCell ref="S88:AE88"/>
    <mergeCell ref="S74:AE76"/>
    <mergeCell ref="S77:AE77"/>
    <mergeCell ref="S78:AE78"/>
    <mergeCell ref="S79:AE80"/>
  </mergeCells>
  <conditionalFormatting sqref="C3">
    <cfRule type="cellIs" dxfId="16" priority="568" stopIfTrue="1" operator="equal">
      <formula>"French-1"</formula>
    </cfRule>
  </conditionalFormatting>
  <conditionalFormatting sqref="C77:N77">
    <cfRule type="containsText" dxfId="15" priority="52" operator="containsText" text="DRM(B)">
      <formula>NOT(ISERROR(SEARCH("DRM(B)",C77)))</formula>
    </cfRule>
  </conditionalFormatting>
  <conditionalFormatting sqref="E25">
    <cfRule type="containsText" dxfId="14" priority="13" operator="containsText" text="DRM(B)">
      <formula>NOT(ISERROR(SEARCH("DRM(B)",E25)))</formula>
    </cfRule>
  </conditionalFormatting>
  <conditionalFormatting sqref="S3">
    <cfRule type="cellIs" dxfId="13" priority="33" stopIfTrue="1" operator="equal">
      <formula>"French-1"</formula>
    </cfRule>
  </conditionalFormatting>
  <conditionalFormatting sqref="S25:AE25 S30:AE31 S37:AE38 S44:AE45">
    <cfRule type="containsText" dxfId="12" priority="51" operator="containsText" text="DRM(B)">
      <formula>NOT(ISERROR(SEARCH("DRM(B)",S25)))</formula>
    </cfRule>
  </conditionalFormatting>
  <conditionalFormatting sqref="S51:AE52">
    <cfRule type="containsText" dxfId="11" priority="47" operator="containsText" text="DRM(B)">
      <formula>NOT(ISERROR(SEARCH("DRM(B)",S51)))</formula>
    </cfRule>
  </conditionalFormatting>
  <conditionalFormatting sqref="S58:AE59">
    <cfRule type="containsText" dxfId="10" priority="43" operator="containsText" text="DRM(B)">
      <formula>NOT(ISERROR(SEARCH("DRM(B)",S58)))</formula>
    </cfRule>
  </conditionalFormatting>
  <conditionalFormatting sqref="S65:AE66">
    <cfRule type="containsText" dxfId="9" priority="42" operator="containsText" text="DRM(B)">
      <formula>NOT(ISERROR(SEARCH("DRM(B)",S65)))</formula>
    </cfRule>
  </conditionalFormatting>
  <conditionalFormatting sqref="S72:AE73">
    <cfRule type="containsText" dxfId="8" priority="35" operator="containsText" text="DRM(B)">
      <formula>NOT(ISERROR(SEARCH("DRM(B)",S72)))</formula>
    </cfRule>
  </conditionalFormatting>
  <conditionalFormatting sqref="S77:AE77">
    <cfRule type="containsText" dxfId="7" priority="34" operator="containsText" text="DRM(B)">
      <formula>NOT(ISERROR(SEARCH("DRM(B)",S77)))</formula>
    </cfRule>
  </conditionalFormatting>
  <conditionalFormatting sqref="AE26:AE29">
    <cfRule type="containsText" dxfId="6" priority="7" operator="containsText" text="DRM(B)">
      <formula>NOT(ISERROR(SEARCH("DRM(B)",AE26)))</formula>
    </cfRule>
  </conditionalFormatting>
  <conditionalFormatting sqref="AE32:AE36">
    <cfRule type="containsText" dxfId="5" priority="6" operator="containsText" text="DRM(B)">
      <formula>NOT(ISERROR(SEARCH("DRM(B)",AE32)))</formula>
    </cfRule>
  </conditionalFormatting>
  <conditionalFormatting sqref="AE39:AE43">
    <cfRule type="containsText" dxfId="4" priority="5" operator="containsText" text="DRM(B)">
      <formula>NOT(ISERROR(SEARCH("DRM(B)",AE39)))</formula>
    </cfRule>
  </conditionalFormatting>
  <conditionalFormatting sqref="AE46:AE50">
    <cfRule type="containsText" dxfId="3" priority="4" operator="containsText" text="DRM(B)">
      <formula>NOT(ISERROR(SEARCH("DRM(B)",AE46)))</formula>
    </cfRule>
  </conditionalFormatting>
  <conditionalFormatting sqref="AE53:AE57">
    <cfRule type="containsText" dxfId="2" priority="3" operator="containsText" text="DRM(B)">
      <formula>NOT(ISERROR(SEARCH("DRM(B)",AE53)))</formula>
    </cfRule>
  </conditionalFormatting>
  <conditionalFormatting sqref="AE60:AE64">
    <cfRule type="containsText" dxfId="1" priority="2" operator="containsText" text="DRM(B)">
      <formula>NOT(ISERROR(SEARCH("DRM(B)",AE60)))</formula>
    </cfRule>
  </conditionalFormatting>
  <conditionalFormatting sqref="AE67:AE71">
    <cfRule type="containsText" dxfId="0" priority="1" operator="containsText" text="DRM(B)">
      <formula>NOT(ISERROR(SEARCH("DRM(B)",AE67)))</formula>
    </cfRule>
  </conditionalFormatting>
  <pageMargins left="0.23622047244094491" right="0.19685039370078741" top="1.1023622047244095" bottom="0.27559055118110237" header="0.27559055118110237" footer="0.19685039370078741"/>
  <pageSetup paperSize="9" scale="34" orientation="portrait" r:id="rId1"/>
  <headerFooter alignWithMargins="0">
    <oddHeader>&amp;C&amp;"times,Bold"&amp;17Institute of Management, Nirma University
Master of Business Administration
Batch: 20201 - 2023 (Term - V)
Daily Class Schedule</oddHeader>
  </headerFooter>
  <rowBreaks count="2" manualBreakCount="2">
    <brk id="42" max="13" man="1"/>
    <brk id="133" max="14" man="1"/>
  </rowBreaks>
  <colBreaks count="1" manualBreakCount="1">
    <brk id="14" max="1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Course Detail-Term-V</vt:lpstr>
      <vt:lpstr>Class Schedule-Term-V</vt:lpstr>
      <vt:lpstr>'Class Schedule-Term-V'!Print_Area</vt:lpstr>
      <vt:lpstr>'Course Detail-Term-V'!Print_Area</vt:lpstr>
      <vt:lpstr>'Class Schedule-Term-V'!Print_Titles</vt:lpstr>
    </vt:vector>
  </TitlesOfParts>
  <Company>nim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Vishesh Kanoongo</cp:lastModifiedBy>
  <cp:lastPrinted>2025-09-24T10:20:09Z</cp:lastPrinted>
  <dcterms:created xsi:type="dcterms:W3CDTF">2007-05-07T07:18:13Z</dcterms:created>
  <dcterms:modified xsi:type="dcterms:W3CDTF">2025-12-16T08:50:15Z</dcterms:modified>
</cp:coreProperties>
</file>