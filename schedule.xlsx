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he\Downloads\"/>
    </mc:Choice>
  </mc:AlternateContent>
  <xr:revisionPtr revIDLastSave="0" documentId="13_ncr:1_{C3B7D06A-8A99-47CA-ABD9-09761499C79A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Course Detail-Term-VI" sheetId="33" r:id="rId1"/>
    <sheet name="Class Schedule-Term-VI " sheetId="36" r:id="rId2"/>
  </sheets>
  <externalReferences>
    <externalReference r:id="rId3"/>
  </externalReferences>
  <definedNames>
    <definedName name="_xlnm._FilterDatabase" localSheetId="1" hidden="1">'Class Schedule-Term-VI '!$A$17:$P$49</definedName>
    <definedName name="_xlnm._FilterDatabase" localSheetId="0" hidden="1">'Course Detail-Term-VI'!$A$1:$HK$20</definedName>
    <definedName name="AA">[1]Range!$C$3:$D$16</definedName>
    <definedName name="FG" localSheetId="1">#REF!</definedName>
    <definedName name="FG" localSheetId="0">#REF!</definedName>
    <definedName name="FG">#REF!</definedName>
    <definedName name="GP" localSheetId="1">#REF!</definedName>
    <definedName name="GP" localSheetId="0">#REF!</definedName>
    <definedName name="GP">#REF!</definedName>
    <definedName name="_xlnm.Print_Area" localSheetId="1">'Class Schedule-Term-VI '!$A$1:$N$49</definedName>
    <definedName name="_xlnm.Print_Area" localSheetId="0">'Course Detail-Term-VI'!$A$1:$J$20</definedName>
    <definedName name="_xlnm.Print_Titles" localSheetId="1">'Class Schedule-Term-VI '!$1:$2</definedName>
    <definedName name="range" localSheetId="1">#REF!</definedName>
    <definedName name="range" localSheetId="0">#REF!</definedName>
    <definedName name="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6" l="1"/>
  <c r="R4" i="36"/>
  <c r="B5" i="36"/>
  <c r="R5" i="36"/>
  <c r="B6" i="36"/>
  <c r="R6" i="36"/>
  <c r="B7" i="36"/>
  <c r="R7" i="36"/>
  <c r="B8" i="36"/>
  <c r="R8" i="36"/>
  <c r="B9" i="36"/>
  <c r="R9" i="36"/>
  <c r="R14" i="36"/>
  <c r="R13" i="36"/>
  <c r="R12" i="36"/>
  <c r="R11" i="36"/>
  <c r="R10" i="36"/>
  <c r="B16" i="36" l="1"/>
  <c r="B15" i="36"/>
  <c r="B14" i="36"/>
  <c r="B13" i="36"/>
  <c r="B12" i="36"/>
  <c r="B11" i="36"/>
  <c r="B10" i="36"/>
  <c r="D49" i="36"/>
  <c r="D48" i="36"/>
  <c r="D45" i="36"/>
  <c r="D44" i="36"/>
  <c r="D41" i="36"/>
  <c r="D40" i="36"/>
  <c r="D37" i="36"/>
  <c r="D35" i="36"/>
  <c r="D36" i="36"/>
  <c r="D34" i="36"/>
  <c r="D33" i="36"/>
  <c r="D32" i="36"/>
  <c r="D31" i="36"/>
  <c r="D30" i="36"/>
  <c r="N30" i="36" s="1"/>
  <c r="D29" i="36"/>
  <c r="N29" i="36" s="1"/>
  <c r="D28" i="36"/>
  <c r="D25" i="36"/>
  <c r="D47" i="36"/>
  <c r="D42" i="36"/>
  <c r="D24" i="36"/>
  <c r="D46" i="36"/>
  <c r="D43" i="36"/>
  <c r="D23" i="36"/>
  <c r="D38" i="36"/>
  <c r="D26" i="36"/>
  <c r="D22" i="36"/>
  <c r="D39" i="36"/>
  <c r="D27" i="36"/>
  <c r="D21" i="36"/>
  <c r="D20" i="36"/>
  <c r="E20" i="36"/>
  <c r="F20" i="36"/>
  <c r="H20" i="36"/>
  <c r="E21" i="36"/>
  <c r="F21" i="36"/>
  <c r="G21" i="36"/>
  <c r="H21" i="36"/>
  <c r="E22" i="36"/>
  <c r="F22" i="36"/>
  <c r="H22" i="36"/>
  <c r="E23" i="36"/>
  <c r="F23" i="36"/>
  <c r="H23" i="36"/>
  <c r="E24" i="36"/>
  <c r="F24" i="36"/>
  <c r="G24" i="36"/>
  <c r="E25" i="36"/>
  <c r="E26" i="36"/>
  <c r="E27" i="36"/>
  <c r="F27" i="36"/>
  <c r="E28" i="36"/>
  <c r="F28" i="36"/>
  <c r="E31" i="36"/>
  <c r="F31" i="36"/>
  <c r="E32" i="36"/>
  <c r="F32" i="36"/>
  <c r="E33" i="36"/>
  <c r="F33" i="36"/>
  <c r="E34" i="36"/>
  <c r="G34" i="36"/>
  <c r="H34" i="36"/>
  <c r="E35" i="36"/>
  <c r="E36" i="36"/>
  <c r="F36" i="36"/>
  <c r="G36" i="36"/>
  <c r="H36" i="36"/>
  <c r="E37" i="36"/>
  <c r="F37" i="36"/>
  <c r="G37" i="36"/>
  <c r="H37" i="36"/>
  <c r="E38" i="36"/>
  <c r="F38" i="36"/>
  <c r="E39" i="36"/>
  <c r="F39" i="36"/>
  <c r="E40" i="36"/>
  <c r="F40" i="36"/>
  <c r="E41" i="36"/>
  <c r="F41" i="36"/>
  <c r="E42" i="36"/>
  <c r="E43" i="36"/>
  <c r="F43" i="36"/>
  <c r="H43" i="36"/>
  <c r="E44" i="36"/>
  <c r="F44" i="36"/>
  <c r="H44" i="36"/>
  <c r="E45" i="36"/>
  <c r="E46" i="36"/>
  <c r="F46" i="36"/>
  <c r="E47" i="36"/>
  <c r="F47" i="36"/>
  <c r="G47" i="36"/>
  <c r="E48" i="36"/>
  <c r="F48" i="36"/>
  <c r="G48" i="36"/>
  <c r="E49" i="36"/>
  <c r="N27" i="36" l="1"/>
  <c r="N45" i="36"/>
  <c r="N35" i="36"/>
  <c r="N42" i="36"/>
  <c r="N23" i="36"/>
  <c r="N31" i="36"/>
  <c r="N40" i="36"/>
  <c r="N36" i="36"/>
  <c r="N49" i="36"/>
  <c r="N20" i="36"/>
  <c r="N26" i="36"/>
  <c r="N21" i="36"/>
  <c r="N33" i="36"/>
  <c r="N46" i="36"/>
  <c r="N25" i="36"/>
  <c r="N39" i="36"/>
  <c r="N32" i="36"/>
  <c r="N44" i="36"/>
  <c r="N41" i="36"/>
  <c r="N47" i="36"/>
  <c r="N28" i="36"/>
  <c r="N38" i="36"/>
  <c r="N43" i="36"/>
  <c r="N34" i="36"/>
  <c r="N22" i="36"/>
  <c r="N24" i="36"/>
  <c r="N37" i="36"/>
  <c r="N48" i="36"/>
  <c r="F20" i="33" l="1"/>
</calcChain>
</file>

<file path=xl/sharedStrings.xml><?xml version="1.0" encoding="utf-8"?>
<sst xmlns="http://schemas.openxmlformats.org/spreadsheetml/2006/main" count="405" uniqueCount="196">
  <si>
    <t>Session-I</t>
  </si>
  <si>
    <t>Session-II</t>
  </si>
  <si>
    <t>Session-III</t>
  </si>
  <si>
    <t>Session-IV</t>
  </si>
  <si>
    <t>Session-V</t>
  </si>
  <si>
    <t>Date</t>
  </si>
  <si>
    <t>Day</t>
  </si>
  <si>
    <t>Session-VI</t>
  </si>
  <si>
    <t>Session-VII</t>
  </si>
  <si>
    <t>Session-VIII</t>
  </si>
  <si>
    <t>Sl. No.</t>
  </si>
  <si>
    <t>Course
Code</t>
  </si>
  <si>
    <t>Abbre.</t>
  </si>
  <si>
    <t>Name of the Course</t>
  </si>
  <si>
    <t>Area</t>
  </si>
  <si>
    <t>Credit
Hours</t>
  </si>
  <si>
    <t>Name of the Faculty</t>
  </si>
  <si>
    <t>Class
Room</t>
  </si>
  <si>
    <t>Eco. &amp; Fin.</t>
  </si>
  <si>
    <t>Marketing</t>
  </si>
  <si>
    <t>Total Credit</t>
  </si>
  <si>
    <t>Session-IX</t>
  </si>
  <si>
    <t>Alumni Day</t>
  </si>
  <si>
    <t>05.00PM to 
06.00PM</t>
  </si>
  <si>
    <t>Session-X</t>
  </si>
  <si>
    <t>Session-XI</t>
  </si>
  <si>
    <t>DnA</t>
  </si>
  <si>
    <t>08.30PM to 
09.30PM</t>
  </si>
  <si>
    <t>Session-IV-A</t>
  </si>
  <si>
    <t>Prof. Nitin Pillai</t>
  </si>
  <si>
    <t>D&amp;IT</t>
  </si>
  <si>
    <t>Faculty Email id</t>
  </si>
  <si>
    <t>Course coordinator</t>
  </si>
  <si>
    <t>Prof. Dipti Saraf</t>
  </si>
  <si>
    <t>Prof. Somayya Madakam</t>
  </si>
  <si>
    <t>nitin.pillai@nirmauni.ac.in</t>
  </si>
  <si>
    <t>Prof. Omakar Sahoo</t>
  </si>
  <si>
    <t>Prof. Praneti Shah</t>
  </si>
  <si>
    <t>somayya.madakam@nirmauni.ac.in</t>
  </si>
  <si>
    <t>Prof. Omakar Sahoo (Div. A&amp;B)</t>
  </si>
  <si>
    <t>08.00AM to
09.00AM</t>
  </si>
  <si>
    <t>09.10AM to 
10.10AM</t>
  </si>
  <si>
    <t>10.20AM to 
11.20PM</t>
  </si>
  <si>
    <t>11.30AM to 
12.30PM</t>
  </si>
  <si>
    <t>1.30PM to
02.30PM</t>
  </si>
  <si>
    <t>02.40PM to
03.40PM</t>
  </si>
  <si>
    <t>03.50PM to 
04.50PM</t>
  </si>
  <si>
    <t>06.10PM to 
07.10PM</t>
  </si>
  <si>
    <t>07.20PM to 
08.20PM</t>
  </si>
  <si>
    <t>12:30PM to 01:30PM</t>
  </si>
  <si>
    <t>Commencement of Classes - Term-VI (January 05, 2026)</t>
  </si>
  <si>
    <t>Prof. Lalit Arora</t>
  </si>
  <si>
    <t>7MP104SE22</t>
  </si>
  <si>
    <t>Direct &amp; Indirect Taxes</t>
  </si>
  <si>
    <t>7MP116SE22</t>
  </si>
  <si>
    <t>IF</t>
  </si>
  <si>
    <t>International Finance</t>
  </si>
  <si>
    <t>Fin &amp; Accounting</t>
  </si>
  <si>
    <t>Prof. Parag Rijwnai Div. A &amp; B)</t>
  </si>
  <si>
    <t>parag@nirmauni.ac.in</t>
  </si>
  <si>
    <t>7MP122SE22</t>
  </si>
  <si>
    <t>PPC</t>
  </si>
  <si>
    <t>Project Planning and Control* IMBA</t>
  </si>
  <si>
    <t>ritesh@nirmauni.ac.in,</t>
  </si>
  <si>
    <t>7MP124SE22</t>
  </si>
  <si>
    <t>Mergers and Acquisitions</t>
  </si>
  <si>
    <t>M&amp;A</t>
  </si>
  <si>
    <t>Prof. Ritesh Patel (Div. A,B &amp; C)</t>
  </si>
  <si>
    <t>Prof. Dipti Saraf (Div. A,B &amp; C)</t>
  </si>
  <si>
    <t>7MP328SE24</t>
  </si>
  <si>
    <t>MA</t>
  </si>
  <si>
    <t>Marketing Analytics</t>
  </si>
  <si>
    <t>jayeshaagja@nirmauni.ac.in,
sanjayjain@nirmauni.ac.in</t>
  </si>
  <si>
    <t>Prof. Ritesh Patel</t>
  </si>
  <si>
    <t>Prof. Jayesh Aagja</t>
  </si>
  <si>
    <t>7MP306SE22</t>
  </si>
  <si>
    <t>CRM</t>
  </si>
  <si>
    <t>Customer Relationship Management</t>
  </si>
  <si>
    <t>7MP321SE22</t>
  </si>
  <si>
    <t>RUR.MKT</t>
  </si>
  <si>
    <t>Rural Marketing* IMBA</t>
  </si>
  <si>
    <t>sapna@nirmauni.ac.in,
shailesh.prabhu@nirmauni.ac.in,
kavita.saxena_vf@nirmauni.ac.in</t>
  </si>
  <si>
    <t>7MP314SE22</t>
  </si>
  <si>
    <t>IM</t>
  </si>
  <si>
    <t>International Marketing</t>
  </si>
  <si>
    <t>Prof. Pradeep Kautish</t>
  </si>
  <si>
    <t>pradeep.kautish@nirmauni.ac.in</t>
  </si>
  <si>
    <t>7MP317SE22</t>
  </si>
  <si>
    <t>MS</t>
  </si>
  <si>
    <t>Marketing Simulation</t>
  </si>
  <si>
    <t>Prof. Ashwini Awasthi(Div A &amp; B)
Prof. Jayesh Aagja (Div. C)
Prof. Sanjay Jain (Div. D)</t>
  </si>
  <si>
    <t>awasthiak@nirmauni.ac.in,
jayeshaagja@nirmauni.ac.in,
sanjayjain@nirmauni.ac.in</t>
  </si>
  <si>
    <t>7MP404NE22</t>
  </si>
  <si>
    <t>GBL</t>
  </si>
  <si>
    <t>Global Business Leadership*IMBa</t>
  </si>
  <si>
    <t>HRM</t>
  </si>
  <si>
    <t>7MP503NE22</t>
  </si>
  <si>
    <t>DIW</t>
  </si>
  <si>
    <t>Diversity and Inclusion at Workplace</t>
  </si>
  <si>
    <t>OB &amp; Communication</t>
  </si>
  <si>
    <t>7MP510NE22</t>
  </si>
  <si>
    <t>PS&amp;PS</t>
  </si>
  <si>
    <t>Public Speaking and Presentation Skills</t>
  </si>
  <si>
    <t>7MP812NE22</t>
  </si>
  <si>
    <t>MC</t>
  </si>
  <si>
    <t>GM</t>
  </si>
  <si>
    <t>Management Consulting* IMBA</t>
  </si>
  <si>
    <t>7MP711SE22</t>
  </si>
  <si>
    <t>FT</t>
  </si>
  <si>
    <t>Financial Technologies</t>
  </si>
  <si>
    <t>omkar.sahoo@nirmauni.ac.in,</t>
  </si>
  <si>
    <t>7MP718SE22</t>
  </si>
  <si>
    <t>SNA</t>
  </si>
  <si>
    <t>Social Network Analysis* IMBA</t>
  </si>
  <si>
    <t>DnA/OM</t>
  </si>
  <si>
    <t>Prof. Anand Kumar</t>
  </si>
  <si>
    <t>anand.kumar@nirmauni.ac.in</t>
  </si>
  <si>
    <t>7MP713SE22</t>
  </si>
  <si>
    <t>IGR&amp;MC</t>
  </si>
  <si>
    <t>InfoSec for Governance, Risk Management and Compliance</t>
  </si>
  <si>
    <t>7MP211SE22</t>
  </si>
  <si>
    <t>PRM</t>
  </si>
  <si>
    <t>Project Management* IMBA</t>
  </si>
  <si>
    <t>Prof. Chetan Jhaveri</t>
  </si>
  <si>
    <t>chetan@nirmauni.ac.in</t>
  </si>
  <si>
    <t>7MP807SE22</t>
  </si>
  <si>
    <t>IL</t>
  </si>
  <si>
    <t>International Logistics*IMBA</t>
  </si>
  <si>
    <t>OM&amp;DS</t>
  </si>
  <si>
    <t>Praneti@nirmauni.ac.in</t>
  </si>
  <si>
    <t>IF(A)/PPC(B)/DIW</t>
  </si>
  <si>
    <t>IF(B)/PPC(A)/GBL</t>
  </si>
  <si>
    <t>M&amp;A(A)/FT(B)/PRM(A)</t>
  </si>
  <si>
    <t>M&amp;A(B)/FT(A)/PRM(B)</t>
  </si>
  <si>
    <t>M&amp;A('C)/MA</t>
  </si>
  <si>
    <t>IL(A)/D&amp;IT</t>
  </si>
  <si>
    <t>IL(B)/IM</t>
  </si>
  <si>
    <t>MS(A)/MS('C)</t>
  </si>
  <si>
    <t>MS(B)/MS(D)/PS&amp;PS</t>
  </si>
  <si>
    <t>Break</t>
  </si>
  <si>
    <t>Makar Sankranti - (Holiday)</t>
  </si>
  <si>
    <t>Prof. Dhaval Patanvadia (VF)</t>
  </si>
  <si>
    <t xml:space="preserve">Prof. Jayesh Aagja
Prof. Sanjay Jain </t>
  </si>
  <si>
    <t>RURMKT(A)</t>
  </si>
  <si>
    <t>Prof. T. S. Joshi</t>
  </si>
  <si>
    <t>Prof. Sadhana Sargam</t>
  </si>
  <si>
    <t>Prof. Shilpa Tanna</t>
  </si>
  <si>
    <t>PPC('C)/RURMKT(B)</t>
  </si>
  <si>
    <t>Prof. Sapna Parshar (Div. A &amp;B)
Prof. Shailesh Prabhu N. (Div. A)
Prof. Kavita Saxena (VF) (Div. B)</t>
  </si>
  <si>
    <t>M&amp;A('C)/MA/IL(A)</t>
  </si>
  <si>
    <t>IL(B)/IM/MS(B)/MS(D)/PS&amp;PS</t>
  </si>
  <si>
    <t>IF(A)/DIW</t>
  </si>
  <si>
    <t>PPC(B)</t>
  </si>
  <si>
    <t>RURMKT(A)/SNA</t>
  </si>
  <si>
    <t>PPC(B)/MS(A)/MS('C)</t>
  </si>
  <si>
    <t>IGR&amp;MC/MS(A)/MS('C)</t>
  </si>
  <si>
    <t>dr.patanvadia@gmail.com, dhaval.patanvadia_vf@nirmauni.ac.in</t>
  </si>
  <si>
    <t>Prof. Harsh Pratap Singh</t>
  </si>
  <si>
    <t>Prof. Shilesh Prabhu N</t>
  </si>
  <si>
    <t>IF(A)</t>
  </si>
  <si>
    <t>IF(B)</t>
  </si>
  <si>
    <t>M&amp;A(A)</t>
  </si>
  <si>
    <t>M&amp;A(B)</t>
  </si>
  <si>
    <t>M&amp;A(C)</t>
  </si>
  <si>
    <t>PPC(A)</t>
  </si>
  <si>
    <t>PPC(C)</t>
  </si>
  <si>
    <t>RURMKT(B)</t>
  </si>
  <si>
    <t>MS(A)</t>
  </si>
  <si>
    <t>MS(B)</t>
  </si>
  <si>
    <t>MS('C)</t>
  </si>
  <si>
    <t>MS(D)</t>
  </si>
  <si>
    <t>FT(A)</t>
  </si>
  <si>
    <t>FT(B)</t>
  </si>
  <si>
    <t>PRM(A)</t>
  </si>
  <si>
    <t>PRM(B)</t>
  </si>
  <si>
    <t>IL(A)</t>
  </si>
  <si>
    <t>IL(B)</t>
  </si>
  <si>
    <t>T6</t>
  </si>
  <si>
    <t>T5</t>
  </si>
  <si>
    <t>T6
T5
T5</t>
  </si>
  <si>
    <t>T3</t>
  </si>
  <si>
    <t>T7</t>
  </si>
  <si>
    <t>shilpa.tanna@nirmauni.ac.in</t>
  </si>
  <si>
    <t>Prof. Nidhi Bansal</t>
  </si>
  <si>
    <t>sadhna.sargam@nirmauni.ac.in</t>
  </si>
  <si>
    <t>Prof. Sanjay Jain</t>
  </si>
  <si>
    <t>dipti.saraf@nirmauni.ac.in</t>
  </si>
  <si>
    <t>E3</t>
  </si>
  <si>
    <t>Management Conclave</t>
  </si>
  <si>
    <t>PPC(A)/GBL</t>
  </si>
  <si>
    <t>PPC(B)/DIW</t>
  </si>
  <si>
    <t>Prof. Rajesh Kikani (VF)
Prof. Arvind Singh (VF)</t>
  </si>
  <si>
    <t>tambram1234@gamail.com,
tripura.joshi_vf@nirmauni.ac.in</t>
  </si>
  <si>
    <t xml:space="preserve">MC </t>
  </si>
  <si>
    <t>NICOM-2026</t>
  </si>
  <si>
    <t>IF(A)/PPC(B)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</si>
</sst>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Calibri"/>
      <family val="2"/>
    </font>
    <font>
      <b/>
      <sz val="11"/>
      <name val="Calibri"/>
      <family val="2"/>
    </font>
    <font>
      <sz val="10"/>
      <color rgb="FF000000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entury Schoolbook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2">
    <xf numFmtId="0" fontId="0" fillId="0" borderId="0"/>
    <xf numFmtId="0" fontId="6" fillId="0" borderId="0"/>
    <xf numFmtId="0" fontId="5" fillId="0" borderId="0"/>
    <xf numFmtId="0" fontId="5" fillId="0" borderId="0"/>
    <xf numFmtId="0" fontId="9" fillId="0" borderId="0"/>
    <xf numFmtId="0" fontId="14" fillId="0" borderId="0">
      <alignment vertical="center"/>
    </xf>
    <xf numFmtId="0" fontId="15" fillId="0" borderId="0"/>
    <xf numFmtId="0" fontId="2" fillId="0" borderId="0"/>
    <xf numFmtId="0" fontId="17" fillId="0" borderId="0"/>
    <xf numFmtId="0" fontId="18" fillId="0" borderId="0" applyNumberFormat="0" applyFill="0" applyBorder="0" applyAlignment="0" applyProtection="0"/>
    <xf numFmtId="0" fontId="1" fillId="0" borderId="0"/>
    <xf numFmtId="0" fontId="9" fillId="0" borderId="0"/>
  </cellStyleXfs>
  <cellXfs count="53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5" fontId="11" fillId="3" borderId="1" xfId="0" quotePrefix="1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3" applyFont="1" applyFill="1" applyBorder="1" applyAlignment="1">
      <alignment horizontal="center" vertical="center" wrapText="1"/>
    </xf>
    <xf numFmtId="0" fontId="11" fillId="4" borderId="1" xfId="3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vertical="center"/>
    </xf>
    <xf numFmtId="0" fontId="7" fillId="3" borderId="1" xfId="3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64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11" fillId="3" borderId="2" xfId="0" applyFont="1" applyFill="1" applyBorder="1" applyAlignment="1">
      <alignment horizontal="center" vertical="center"/>
    </xf>
    <xf numFmtId="0" fontId="12" fillId="3" borderId="0" xfId="3" applyFont="1" applyFill="1" applyAlignment="1">
      <alignment vertical="center" wrapText="1"/>
    </xf>
    <xf numFmtId="0" fontId="7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6" fillId="0" borderId="1" xfId="4" applyFont="1" applyBorder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7" fillId="3" borderId="1" xfId="3" applyFont="1" applyFill="1" applyBorder="1" applyAlignment="1">
      <alignment vertical="center" wrapText="1"/>
    </xf>
    <xf numFmtId="164" fontId="7" fillId="3" borderId="1" xfId="3" applyNumberFormat="1" applyFont="1" applyFill="1" applyBorder="1" applyAlignment="1">
      <alignment horizontal="center" vertical="center" wrapText="1"/>
    </xf>
    <xf numFmtId="0" fontId="7" fillId="3" borderId="1" xfId="3" applyFont="1" applyFill="1" applyBorder="1" applyAlignment="1">
      <alignment horizontal="left" vertical="center" wrapText="1"/>
    </xf>
    <xf numFmtId="0" fontId="11" fillId="3" borderId="7" xfId="3" applyFont="1" applyFill="1" applyBorder="1" applyAlignment="1">
      <alignment horizontal="center" vertical="center" wrapText="1"/>
    </xf>
    <xf numFmtId="0" fontId="12" fillId="2" borderId="8" xfId="3" applyFont="1" applyFill="1" applyBorder="1" applyAlignment="1">
      <alignment horizontal="center" vertical="center"/>
    </xf>
    <xf numFmtId="0" fontId="18" fillId="3" borderId="1" xfId="9" applyFill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12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2" fillId="4" borderId="5" xfId="3" applyFont="1" applyFill="1" applyBorder="1" applyAlignment="1">
      <alignment vertical="center" wrapText="1"/>
    </xf>
    <xf numFmtId="0" fontId="12" fillId="4" borderId="6" xfId="3" applyFont="1" applyFill="1" applyBorder="1" applyAlignment="1">
      <alignment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 wrapText="1"/>
    </xf>
    <xf numFmtId="0" fontId="12" fillId="3" borderId="5" xfId="3" applyFont="1" applyFill="1" applyBorder="1" applyAlignment="1">
      <alignment horizontal="center" vertical="center" wrapText="1"/>
    </xf>
    <xf numFmtId="0" fontId="12" fillId="3" borderId="6" xfId="3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</cellXfs>
  <cellStyles count="12">
    <cellStyle name="Hyperlink" xfId="9" builtinId="8"/>
    <cellStyle name="Normal" xfId="0" builtinId="0"/>
    <cellStyle name="Normal 2" xfId="1" xr:uid="{00000000-0005-0000-0000-000001000000}"/>
    <cellStyle name="Normal 2 2" xfId="3" xr:uid="{00000000-0005-0000-0000-000002000000}"/>
    <cellStyle name="Normal 2 2 2" xfId="10" xr:uid="{BE04DA38-2FFB-474A-8CB8-3F1619B91593}"/>
    <cellStyle name="Normal 2_Class Schedule-Term-I" xfId="2" xr:uid="{00000000-0005-0000-0000-000003000000}"/>
    <cellStyle name="Normal 3" xfId="4" xr:uid="{00000000-0005-0000-0000-000004000000}"/>
    <cellStyle name="Normal 3 2" xfId="11" xr:uid="{37DED1AE-3BB4-4AD9-B1E5-EEEF5620CA10}"/>
    <cellStyle name="Normal 4" xfId="5" xr:uid="{00000000-0005-0000-0000-000005000000}"/>
    <cellStyle name="Normal 5" xfId="6" xr:uid="{00000000-0005-0000-0000-000006000000}"/>
    <cellStyle name="Normal 6" xfId="7" xr:uid="{00000000-0005-0000-0000-000007000000}"/>
    <cellStyle name="Normal 7" xfId="8" xr:uid="{679AB6A7-789D-4E96-A2A7-8DE86512F235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53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aadmin\C\WINDOWS\Temporary%20Internet%20Files\Content.IE5\C967KH6Z\Data\Grade%20(FT)%20(FB)%20(PT)\Graduate%20Batch\FT\2006-08%20(FT)\Term%20-%20IV\Final%20Grade\SPM%20%20-%20Final%20Grade%20(FT)%20(06-08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ge"/>
      <sheetName val="Final Grade"/>
    </sheetNames>
    <sheetDataSet>
      <sheetData sheetId="0">
        <row r="3">
          <cell r="C3">
            <v>0</v>
          </cell>
          <cell r="D3">
            <v>0</v>
          </cell>
        </row>
        <row r="4">
          <cell r="C4" t="str">
            <v>F</v>
          </cell>
          <cell r="D4">
            <v>0</v>
          </cell>
        </row>
        <row r="5">
          <cell r="C5" t="str">
            <v>D-</v>
          </cell>
          <cell r="D5">
            <v>0.66700000000000004</v>
          </cell>
        </row>
        <row r="6">
          <cell r="C6" t="str">
            <v>D</v>
          </cell>
          <cell r="D6">
            <v>1</v>
          </cell>
        </row>
        <row r="7">
          <cell r="C7" t="str">
            <v>D+</v>
          </cell>
          <cell r="D7">
            <v>1.333</v>
          </cell>
        </row>
        <row r="8">
          <cell r="C8" t="str">
            <v>C-</v>
          </cell>
          <cell r="D8">
            <v>1.667</v>
          </cell>
        </row>
        <row r="9">
          <cell r="C9" t="str">
            <v>C</v>
          </cell>
          <cell r="D9">
            <v>2</v>
          </cell>
        </row>
        <row r="10">
          <cell r="C10" t="str">
            <v>C+</v>
          </cell>
          <cell r="D10">
            <v>2.3330000000000002</v>
          </cell>
        </row>
        <row r="11">
          <cell r="C11" t="str">
            <v>B-</v>
          </cell>
          <cell r="D11">
            <v>2.6669999999999998</v>
          </cell>
        </row>
        <row r="12">
          <cell r="C12" t="str">
            <v>B</v>
          </cell>
          <cell r="D12">
            <v>3</v>
          </cell>
        </row>
        <row r="13">
          <cell r="C13" t="str">
            <v>B+</v>
          </cell>
          <cell r="D13">
            <v>3.3330000000000002</v>
          </cell>
        </row>
        <row r="14">
          <cell r="C14" t="str">
            <v>A-</v>
          </cell>
          <cell r="D14">
            <v>3.6669999999999998</v>
          </cell>
        </row>
        <row r="15">
          <cell r="C15" t="str">
            <v>A</v>
          </cell>
          <cell r="D15">
            <v>4</v>
          </cell>
        </row>
        <row r="16">
          <cell r="C16" t="str">
            <v>A+</v>
          </cell>
          <cell r="D16">
            <v>4.3330000000000002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pti.saraf@nirmauni.ac.in" TargetMode="External"/><Relationship Id="rId13" Type="http://schemas.openxmlformats.org/officeDocument/2006/relationships/hyperlink" Target="mailto:anand.kumar@nirmauni.ac.in" TargetMode="External"/><Relationship Id="rId3" Type="http://schemas.openxmlformats.org/officeDocument/2006/relationships/hyperlink" Target="mailto:ritesh@nirmauni.ac.in," TargetMode="External"/><Relationship Id="rId7" Type="http://schemas.openxmlformats.org/officeDocument/2006/relationships/hyperlink" Target="mailto:dr.patanvadia@gmail.com" TargetMode="External"/><Relationship Id="rId12" Type="http://schemas.openxmlformats.org/officeDocument/2006/relationships/hyperlink" Target="mailto:shilpa.tanna@nirmauni.ac.in" TargetMode="External"/><Relationship Id="rId2" Type="http://schemas.openxmlformats.org/officeDocument/2006/relationships/hyperlink" Target="mailto:ritesh@nirmauni.ac.in,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parag@nirmauni.ac.in" TargetMode="External"/><Relationship Id="rId6" Type="http://schemas.openxmlformats.org/officeDocument/2006/relationships/hyperlink" Target="mailto:Praneti@nirmauni.ac.in" TargetMode="External"/><Relationship Id="rId11" Type="http://schemas.openxmlformats.org/officeDocument/2006/relationships/hyperlink" Target="mailto:nitin.pillai@nirmauni.ac.in" TargetMode="External"/><Relationship Id="rId5" Type="http://schemas.openxmlformats.org/officeDocument/2006/relationships/hyperlink" Target="mailto:omkar.sahoo@nirmauni.ac.in," TargetMode="External"/><Relationship Id="rId15" Type="http://schemas.openxmlformats.org/officeDocument/2006/relationships/hyperlink" Target="mailto:chetan@nirmauni.ac.in" TargetMode="External"/><Relationship Id="rId10" Type="http://schemas.openxmlformats.org/officeDocument/2006/relationships/hyperlink" Target="mailto:sadhna.sargam@nirmauni.ac.in" TargetMode="External"/><Relationship Id="rId4" Type="http://schemas.openxmlformats.org/officeDocument/2006/relationships/hyperlink" Target="mailto:ritesh@nirmauni.ac.in," TargetMode="External"/><Relationship Id="rId9" Type="http://schemas.openxmlformats.org/officeDocument/2006/relationships/hyperlink" Target="mailto:pradeep.kautish@nirmauni.ac.in" TargetMode="External"/><Relationship Id="rId14" Type="http://schemas.openxmlformats.org/officeDocument/2006/relationships/hyperlink" Target="mailto:somayya.madakam@nirmauni.ac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K21"/>
  <sheetViews>
    <sheetView view="pageBreakPreview" zoomScale="80" zoomScaleNormal="81" zoomScaleSheetLayoutView="80" workbookViewId="0">
      <selection activeCell="D5" sqref="D5"/>
    </sheetView>
  </sheetViews>
  <sheetFormatPr defaultColWidth="9.1328125" defaultRowHeight="20.100000000000001" customHeight="1" x14ac:dyDescent="0.35"/>
  <cols>
    <col min="1" max="1" width="6.265625" style="1" customWidth="1"/>
    <col min="2" max="2" width="15.1328125" style="1" bestFit="1" customWidth="1"/>
    <col min="3" max="3" width="10.59765625" style="1" customWidth="1"/>
    <col min="4" max="4" width="38" style="13" customWidth="1"/>
    <col min="5" max="5" width="14.3984375" style="13" bestFit="1" customWidth="1"/>
    <col min="6" max="6" width="7.86328125" style="13" customWidth="1"/>
    <col min="7" max="7" width="30.265625" style="20" customWidth="1"/>
    <col min="8" max="8" width="6.1328125" style="1" customWidth="1"/>
    <col min="9" max="9" width="33.59765625" style="1" customWidth="1"/>
    <col min="10" max="10" width="28.73046875" style="1" customWidth="1"/>
    <col min="11" max="16384" width="9.1328125" style="13"/>
  </cols>
  <sheetData>
    <row r="1" spans="1:219" ht="25.5" customHeight="1" x14ac:dyDescent="0.35">
      <c r="A1" s="10" t="s">
        <v>10</v>
      </c>
      <c r="B1" s="11" t="s">
        <v>11</v>
      </c>
      <c r="C1" s="10" t="s">
        <v>12</v>
      </c>
      <c r="D1" s="12" t="s">
        <v>13</v>
      </c>
      <c r="E1" s="10" t="s">
        <v>14</v>
      </c>
      <c r="F1" s="11" t="s">
        <v>15</v>
      </c>
      <c r="G1" s="12" t="s">
        <v>16</v>
      </c>
      <c r="H1" s="11" t="s">
        <v>17</v>
      </c>
      <c r="I1" s="29" t="s">
        <v>31</v>
      </c>
      <c r="J1" s="29" t="s">
        <v>32</v>
      </c>
    </row>
    <row r="2" spans="1:219" s="22" customFormat="1" ht="31.5" x14ac:dyDescent="0.35">
      <c r="A2" s="16">
        <v>1</v>
      </c>
      <c r="B2" s="16" t="s">
        <v>52</v>
      </c>
      <c r="C2" s="16" t="s">
        <v>30</v>
      </c>
      <c r="D2" s="15" t="s">
        <v>53</v>
      </c>
      <c r="E2" s="14" t="s">
        <v>57</v>
      </c>
      <c r="F2" s="21">
        <v>3</v>
      </c>
      <c r="G2" s="15" t="s">
        <v>141</v>
      </c>
      <c r="H2" s="16" t="s">
        <v>177</v>
      </c>
      <c r="I2" s="35" t="s">
        <v>156</v>
      </c>
      <c r="J2" s="16" t="s">
        <v>157</v>
      </c>
    </row>
    <row r="3" spans="1:219" s="22" customFormat="1" ht="31.5" x14ac:dyDescent="0.35">
      <c r="A3" s="16">
        <v>2</v>
      </c>
      <c r="B3" s="14" t="s">
        <v>54</v>
      </c>
      <c r="C3" s="14" t="s">
        <v>55</v>
      </c>
      <c r="D3" s="30" t="s">
        <v>56</v>
      </c>
      <c r="E3" s="14" t="s">
        <v>57</v>
      </c>
      <c r="F3" s="31">
        <v>3</v>
      </c>
      <c r="G3" s="32" t="s">
        <v>58</v>
      </c>
      <c r="H3" s="16" t="s">
        <v>177</v>
      </c>
      <c r="I3" s="35" t="s">
        <v>59</v>
      </c>
      <c r="J3" s="16" t="s">
        <v>51</v>
      </c>
    </row>
    <row r="4" spans="1:219" s="22" customFormat="1" ht="15.75" x14ac:dyDescent="0.35">
      <c r="A4" s="16">
        <v>3</v>
      </c>
      <c r="B4" s="16" t="s">
        <v>60</v>
      </c>
      <c r="C4" s="16" t="s">
        <v>66</v>
      </c>
      <c r="D4" s="30" t="s">
        <v>65</v>
      </c>
      <c r="E4" s="14" t="s">
        <v>18</v>
      </c>
      <c r="F4" s="21">
        <v>3</v>
      </c>
      <c r="G4" s="15" t="s">
        <v>68</v>
      </c>
      <c r="H4" s="16" t="s">
        <v>178</v>
      </c>
      <c r="I4" s="35" t="s">
        <v>186</v>
      </c>
      <c r="J4" s="35" t="s">
        <v>33</v>
      </c>
    </row>
    <row r="5" spans="1:219" s="22" customFormat="1" ht="15.75" x14ac:dyDescent="0.35">
      <c r="A5" s="16">
        <v>4</v>
      </c>
      <c r="B5" s="16" t="s">
        <v>64</v>
      </c>
      <c r="C5" s="16" t="s">
        <v>61</v>
      </c>
      <c r="D5" s="30" t="s">
        <v>62</v>
      </c>
      <c r="E5" s="14" t="s">
        <v>18</v>
      </c>
      <c r="F5" s="21">
        <v>3</v>
      </c>
      <c r="G5" s="15" t="s">
        <v>67</v>
      </c>
      <c r="H5" s="16" t="s">
        <v>180</v>
      </c>
      <c r="I5" s="35" t="s">
        <v>63</v>
      </c>
      <c r="J5" s="35" t="s">
        <v>73</v>
      </c>
    </row>
    <row r="6" spans="1:219" s="22" customFormat="1" ht="31.5" x14ac:dyDescent="0.35">
      <c r="A6" s="16">
        <v>5</v>
      </c>
      <c r="B6" s="16" t="s">
        <v>69</v>
      </c>
      <c r="C6" s="16" t="s">
        <v>70</v>
      </c>
      <c r="D6" s="17" t="s">
        <v>71</v>
      </c>
      <c r="E6" s="16" t="s">
        <v>19</v>
      </c>
      <c r="F6" s="21">
        <v>3</v>
      </c>
      <c r="G6" s="15" t="s">
        <v>142</v>
      </c>
      <c r="H6" s="16" t="s">
        <v>177</v>
      </c>
      <c r="I6" s="16" t="s">
        <v>72</v>
      </c>
      <c r="J6" s="16" t="s">
        <v>74</v>
      </c>
    </row>
    <row r="7" spans="1:219" s="22" customFormat="1" ht="27" x14ac:dyDescent="0.35">
      <c r="A7" s="16">
        <v>6</v>
      </c>
      <c r="B7" s="16" t="s">
        <v>75</v>
      </c>
      <c r="C7" s="16" t="s">
        <v>76</v>
      </c>
      <c r="D7" s="17" t="s">
        <v>77</v>
      </c>
      <c r="E7" s="16" t="s">
        <v>19</v>
      </c>
      <c r="F7" s="21">
        <v>3</v>
      </c>
      <c r="G7" s="15" t="s">
        <v>144</v>
      </c>
      <c r="H7" s="16" t="s">
        <v>177</v>
      </c>
      <c r="I7" s="37" t="s">
        <v>192</v>
      </c>
      <c r="J7" s="16" t="s">
        <v>158</v>
      </c>
    </row>
    <row r="8" spans="1:219" s="22" customFormat="1" ht="47.25" x14ac:dyDescent="0.35">
      <c r="A8" s="16">
        <v>7</v>
      </c>
      <c r="B8" s="16" t="s">
        <v>78</v>
      </c>
      <c r="C8" s="16" t="s">
        <v>79</v>
      </c>
      <c r="D8" s="17" t="s">
        <v>80</v>
      </c>
      <c r="E8" s="16" t="s">
        <v>19</v>
      </c>
      <c r="F8" s="21">
        <v>3</v>
      </c>
      <c r="G8" s="15" t="s">
        <v>148</v>
      </c>
      <c r="H8" s="16" t="s">
        <v>177</v>
      </c>
      <c r="I8" s="35" t="s">
        <v>81</v>
      </c>
      <c r="J8" s="16" t="s">
        <v>158</v>
      </c>
    </row>
    <row r="9" spans="1:219" s="22" customFormat="1" ht="15.75" x14ac:dyDescent="0.35">
      <c r="A9" s="16">
        <v>8</v>
      </c>
      <c r="B9" s="16" t="s">
        <v>82</v>
      </c>
      <c r="C9" s="16" t="s">
        <v>83</v>
      </c>
      <c r="D9" s="17" t="s">
        <v>84</v>
      </c>
      <c r="E9" s="16" t="s">
        <v>19</v>
      </c>
      <c r="F9" s="21">
        <v>3</v>
      </c>
      <c r="G9" s="15" t="s">
        <v>85</v>
      </c>
      <c r="H9" s="16" t="s">
        <v>177</v>
      </c>
      <c r="I9" s="35" t="s">
        <v>86</v>
      </c>
      <c r="J9" s="16" t="s">
        <v>85</v>
      </c>
    </row>
    <row r="10" spans="1:219" s="22" customFormat="1" ht="47.25" x14ac:dyDescent="0.35">
      <c r="A10" s="16">
        <v>9</v>
      </c>
      <c r="B10" s="16" t="s">
        <v>87</v>
      </c>
      <c r="C10" s="16" t="s">
        <v>88</v>
      </c>
      <c r="D10" s="17" t="s">
        <v>89</v>
      </c>
      <c r="E10" s="16" t="s">
        <v>19</v>
      </c>
      <c r="F10" s="21">
        <v>3</v>
      </c>
      <c r="G10" s="15" t="s">
        <v>90</v>
      </c>
      <c r="H10" s="16" t="s">
        <v>179</v>
      </c>
      <c r="I10" s="16" t="s">
        <v>91</v>
      </c>
      <c r="J10" s="16" t="s">
        <v>185</v>
      </c>
    </row>
    <row r="11" spans="1:219" s="23" customFormat="1" ht="15.75" x14ac:dyDescent="0.35">
      <c r="A11" s="16">
        <v>10</v>
      </c>
      <c r="B11" s="16" t="s">
        <v>92</v>
      </c>
      <c r="C11" s="16" t="s">
        <v>93</v>
      </c>
      <c r="D11" s="17" t="s">
        <v>94</v>
      </c>
      <c r="E11" s="16" t="s">
        <v>95</v>
      </c>
      <c r="F11" s="21">
        <v>3</v>
      </c>
      <c r="G11" s="17" t="s">
        <v>145</v>
      </c>
      <c r="H11" s="16" t="s">
        <v>178</v>
      </c>
      <c r="I11" s="35" t="s">
        <v>184</v>
      </c>
      <c r="J11" s="16" t="s">
        <v>145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</row>
    <row r="12" spans="1:219" s="23" customFormat="1" ht="39.75" customHeight="1" x14ac:dyDescent="0.35">
      <c r="A12" s="16">
        <v>11</v>
      </c>
      <c r="B12" s="16" t="s">
        <v>96</v>
      </c>
      <c r="C12" s="16" t="s">
        <v>97</v>
      </c>
      <c r="D12" s="17" t="s">
        <v>98</v>
      </c>
      <c r="E12" s="16" t="s">
        <v>99</v>
      </c>
      <c r="F12" s="21">
        <v>3</v>
      </c>
      <c r="G12" s="15" t="s">
        <v>29</v>
      </c>
      <c r="H12" s="16" t="s">
        <v>178</v>
      </c>
      <c r="I12" s="35" t="s">
        <v>35</v>
      </c>
      <c r="J12" s="16" t="s">
        <v>29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</row>
    <row r="13" spans="1:219" s="22" customFormat="1" ht="47.25" x14ac:dyDescent="0.35">
      <c r="A13" s="16">
        <v>12</v>
      </c>
      <c r="B13" s="16" t="s">
        <v>100</v>
      </c>
      <c r="C13" s="16" t="s">
        <v>101</v>
      </c>
      <c r="D13" s="17" t="s">
        <v>102</v>
      </c>
      <c r="E13" s="16" t="s">
        <v>99</v>
      </c>
      <c r="F13" s="21">
        <v>3</v>
      </c>
      <c r="G13" s="15" t="s">
        <v>146</v>
      </c>
      <c r="H13" s="16" t="s">
        <v>187</v>
      </c>
      <c r="I13" s="35" t="s">
        <v>182</v>
      </c>
      <c r="J13" s="16" t="s">
        <v>146</v>
      </c>
    </row>
    <row r="14" spans="1:219" s="22" customFormat="1" ht="28.5" x14ac:dyDescent="0.35">
      <c r="A14" s="16">
        <v>13</v>
      </c>
      <c r="B14" s="16" t="s">
        <v>103</v>
      </c>
      <c r="C14" s="16" t="s">
        <v>104</v>
      </c>
      <c r="D14" s="17" t="s">
        <v>106</v>
      </c>
      <c r="E14" s="16" t="s">
        <v>105</v>
      </c>
      <c r="F14" s="21">
        <v>3</v>
      </c>
      <c r="G14" s="28" t="s">
        <v>191</v>
      </c>
      <c r="H14" s="16" t="s">
        <v>180</v>
      </c>
      <c r="I14" s="16"/>
      <c r="J14" s="16" t="s">
        <v>183</v>
      </c>
    </row>
    <row r="15" spans="1:219" s="22" customFormat="1" ht="27.75" customHeight="1" x14ac:dyDescent="0.35">
      <c r="A15" s="16">
        <v>14</v>
      </c>
      <c r="B15" s="16" t="s">
        <v>107</v>
      </c>
      <c r="C15" s="16" t="s">
        <v>108</v>
      </c>
      <c r="D15" s="17" t="s">
        <v>109</v>
      </c>
      <c r="E15" s="16" t="s">
        <v>26</v>
      </c>
      <c r="F15" s="21">
        <v>3</v>
      </c>
      <c r="G15" s="28" t="s">
        <v>39</v>
      </c>
      <c r="H15" s="16" t="s">
        <v>181</v>
      </c>
      <c r="I15" s="35" t="s">
        <v>110</v>
      </c>
      <c r="J15" s="16" t="s">
        <v>36</v>
      </c>
    </row>
    <row r="16" spans="1:219" s="22" customFormat="1" ht="27.75" customHeight="1" x14ac:dyDescent="0.35">
      <c r="A16" s="16">
        <v>15</v>
      </c>
      <c r="B16" s="16" t="s">
        <v>111</v>
      </c>
      <c r="C16" s="16" t="s">
        <v>112</v>
      </c>
      <c r="D16" s="17" t="s">
        <v>113</v>
      </c>
      <c r="E16" s="16" t="s">
        <v>114</v>
      </c>
      <c r="F16" s="21">
        <v>3</v>
      </c>
      <c r="G16" s="28" t="s">
        <v>115</v>
      </c>
      <c r="H16" s="16" t="s">
        <v>180</v>
      </c>
      <c r="I16" s="35" t="s">
        <v>116</v>
      </c>
      <c r="J16" s="16" t="s">
        <v>115</v>
      </c>
    </row>
    <row r="17" spans="1:10" s="22" customFormat="1" ht="27.75" customHeight="1" x14ac:dyDescent="0.35">
      <c r="A17" s="16">
        <v>16</v>
      </c>
      <c r="B17" s="14" t="s">
        <v>117</v>
      </c>
      <c r="C17" s="14" t="s">
        <v>118</v>
      </c>
      <c r="D17" s="30" t="s">
        <v>119</v>
      </c>
      <c r="E17" s="16" t="s">
        <v>26</v>
      </c>
      <c r="F17" s="31">
        <v>3</v>
      </c>
      <c r="G17" s="30" t="s">
        <v>34</v>
      </c>
      <c r="H17" s="16" t="s">
        <v>177</v>
      </c>
      <c r="I17" s="35" t="s">
        <v>38</v>
      </c>
      <c r="J17" s="16" t="s">
        <v>34</v>
      </c>
    </row>
    <row r="18" spans="1:10" s="22" customFormat="1" ht="27.75" customHeight="1" x14ac:dyDescent="0.35">
      <c r="A18" s="16">
        <v>17</v>
      </c>
      <c r="B18" s="16" t="s">
        <v>120</v>
      </c>
      <c r="C18" s="16" t="s">
        <v>121</v>
      </c>
      <c r="D18" s="17" t="s">
        <v>122</v>
      </c>
      <c r="E18" s="14" t="s">
        <v>128</v>
      </c>
      <c r="F18" s="21">
        <v>3</v>
      </c>
      <c r="G18" s="17" t="s">
        <v>123</v>
      </c>
      <c r="H18" s="16" t="s">
        <v>177</v>
      </c>
      <c r="I18" s="35" t="s">
        <v>124</v>
      </c>
      <c r="J18" s="16" t="s">
        <v>123</v>
      </c>
    </row>
    <row r="19" spans="1:10" s="22" customFormat="1" ht="27.75" customHeight="1" x14ac:dyDescent="0.35">
      <c r="A19" s="16">
        <v>18</v>
      </c>
      <c r="B19" s="14" t="s">
        <v>125</v>
      </c>
      <c r="C19" s="14" t="s">
        <v>126</v>
      </c>
      <c r="D19" s="30" t="s">
        <v>127</v>
      </c>
      <c r="E19" s="14" t="s">
        <v>128</v>
      </c>
      <c r="F19" s="31">
        <v>3</v>
      </c>
      <c r="G19" s="30" t="s">
        <v>37</v>
      </c>
      <c r="H19" s="16" t="s">
        <v>178</v>
      </c>
      <c r="I19" s="35" t="s">
        <v>129</v>
      </c>
      <c r="J19" s="16" t="s">
        <v>37</v>
      </c>
    </row>
    <row r="20" spans="1:10" ht="24.95" customHeight="1" x14ac:dyDescent="0.35">
      <c r="A20" s="13"/>
      <c r="B20" s="13"/>
      <c r="C20" s="13"/>
      <c r="E20" s="18" t="s">
        <v>20</v>
      </c>
      <c r="F20" s="19">
        <f>SUM(F2:F19)</f>
        <v>54</v>
      </c>
      <c r="G20" s="13"/>
      <c r="H20" s="13"/>
      <c r="I20" s="13"/>
      <c r="J20" s="13"/>
    </row>
    <row r="21" spans="1:10" ht="21" customHeight="1" x14ac:dyDescent="0.35">
      <c r="A21" s="13"/>
      <c r="B21" s="13"/>
      <c r="C21" s="13"/>
      <c r="G21" s="13"/>
      <c r="H21" s="13"/>
      <c r="I21" s="13"/>
      <c r="J21" s="13"/>
    </row>
  </sheetData>
  <autoFilter ref="A1:HK20" xr:uid="{00000000-0001-0000-0000-000000000000}"/>
  <hyperlinks>
    <hyperlink ref="I3" r:id="rId1" xr:uid="{44031482-4643-4D08-9767-7938566A3A18}"/>
    <hyperlink ref="J4" r:id="rId2" display="ritesh@nirmauni.ac.in," xr:uid="{FEF7BD13-759E-4CC7-A60F-7E24F6DACB35}"/>
    <hyperlink ref="I5" r:id="rId3" xr:uid="{F84B1CB5-513B-4D48-8CEA-12D240B0BC4B}"/>
    <hyperlink ref="J5" r:id="rId4" display="ritesh@nirmauni.ac.in," xr:uid="{E1C35109-53E8-485C-9682-53D87D26DF6B}"/>
    <hyperlink ref="I15" r:id="rId5" xr:uid="{2FF12F35-AEC6-473A-A40E-C67823DBF52B}"/>
    <hyperlink ref="I19" r:id="rId6" xr:uid="{C4819668-91C6-4A07-B29D-D703E3116EB0}"/>
    <hyperlink ref="I2" r:id="rId7" display="dr.patanvadia@gmail.com" xr:uid="{BBCAB806-6D48-407B-8FBB-7C5EA6569C9A}"/>
    <hyperlink ref="I4" r:id="rId8" xr:uid="{736BE64A-91BC-4CAA-8078-0623162038C4}"/>
    <hyperlink ref="I9" r:id="rId9" xr:uid="{6E59164E-D38C-4D73-AA57-B0AD3829CB94}"/>
    <hyperlink ref="I11" r:id="rId10" xr:uid="{91485DBE-E169-47DF-94EC-77E4BEDD8B09}"/>
    <hyperlink ref="I12" r:id="rId11" xr:uid="{13760DD8-EA22-40E7-AB07-A391039FD664}"/>
    <hyperlink ref="I13" r:id="rId12" xr:uid="{3DF2258A-4C3D-48A0-B320-797C598E6784}"/>
    <hyperlink ref="I16" r:id="rId13" xr:uid="{85242E5E-6ACC-4806-B942-471780340F3F}"/>
    <hyperlink ref="I17" r:id="rId14" xr:uid="{2F6F7386-B27E-4A3D-AB13-AF2446FCD4F4}"/>
    <hyperlink ref="I18" r:id="rId15" xr:uid="{A8AA1D83-BB82-426E-9730-0164B30825A6}"/>
  </hyperlinks>
  <printOptions horizontalCentered="1"/>
  <pageMargins left="0.15748031496062992" right="0.15748031496062992" top="1.0236220472440944" bottom="0.51181102362204722" header="0.27559055118110237" footer="0.51181102362204722"/>
  <pageSetup paperSize="9" scale="85" fitToWidth="0" orientation="landscape" horizontalDpi="1200" verticalDpi="1200" r:id="rId16"/>
  <headerFooter alignWithMargins="0">
    <oddHeader>&amp;C&amp;"+,Bold"&amp;14Institute of Management, Nirma University
Master of Business Administration &amp; B. Tech (CSE) MBA
Batch: 2024 - 2026 &amp; 2021-26
 (Term - VI)
Details of Courses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9"/>
  <sheetViews>
    <sheetView tabSelected="1" zoomScale="81" zoomScaleNormal="81" workbookViewId="0">
      <selection activeCell="E13" sqref="E13"/>
    </sheetView>
  </sheetViews>
  <sheetFormatPr defaultColWidth="9.1328125" defaultRowHeight="18" customHeight="1" x14ac:dyDescent="0.35"/>
  <cols>
    <col min="1" max="1" width="11.73046875" style="1" bestFit="1" customWidth="1"/>
    <col min="2" max="2" width="11.59765625" style="1" customWidth="1"/>
    <col min="3" max="3" width="26.3984375" style="1" bestFit="1" customWidth="1"/>
    <col min="4" max="4" width="26.3984375" style="1" customWidth="1"/>
    <col min="5" max="5" width="25.59765625" style="1" customWidth="1"/>
    <col min="6" max="6" width="24" style="1" customWidth="1"/>
    <col min="7" max="7" width="12.1328125" style="1" customWidth="1"/>
    <col min="8" max="8" width="18.73046875" style="1" customWidth="1"/>
    <col min="9" max="9" width="29.86328125" style="1" customWidth="1"/>
    <col min="10" max="10" width="36.73046875" style="1" customWidth="1"/>
    <col min="11" max="11" width="33.73046875" style="1" customWidth="1"/>
    <col min="12" max="14" width="13.86328125" style="1" bestFit="1" customWidth="1"/>
    <col min="15" max="16" width="9.1328125" style="1" customWidth="1"/>
    <col min="17" max="17" width="10" style="1" bestFit="1" customWidth="1"/>
    <col min="18" max="18" width="9.1328125" style="1"/>
    <col min="19" max="19" width="10.59765625" style="1" bestFit="1" customWidth="1"/>
    <col min="20" max="20" width="13.59765625" style="1" bestFit="1" customWidth="1"/>
    <col min="21" max="21" width="16.265625" style="1" bestFit="1" customWidth="1"/>
    <col min="22" max="22" width="19" style="1" bestFit="1" customWidth="1"/>
    <col min="23" max="23" width="12.59765625" style="1" bestFit="1" customWidth="1"/>
    <col min="24" max="24" width="16.73046875" style="1" bestFit="1" customWidth="1"/>
    <col min="25" max="25" width="12.1328125" style="1" bestFit="1" customWidth="1"/>
    <col min="26" max="26" width="12.73046875" style="1" bestFit="1" customWidth="1"/>
    <col min="27" max="27" width="11.3984375" style="1" bestFit="1" customWidth="1"/>
    <col min="28" max="28" width="10.73046875" style="1" bestFit="1" customWidth="1"/>
    <col min="29" max="29" width="11.3984375" style="1" bestFit="1" customWidth="1"/>
    <col min="30" max="16384" width="9.1328125" style="1"/>
  </cols>
  <sheetData>
    <row r="1" spans="1:30" ht="23.25" customHeight="1" x14ac:dyDescent="0.35">
      <c r="A1" s="43" t="s">
        <v>5</v>
      </c>
      <c r="B1" s="43" t="s">
        <v>6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28</v>
      </c>
      <c r="H1" s="5" t="s">
        <v>4</v>
      </c>
      <c r="I1" s="5" t="s">
        <v>7</v>
      </c>
      <c r="J1" s="5" t="s">
        <v>8</v>
      </c>
      <c r="K1" s="5" t="s">
        <v>9</v>
      </c>
      <c r="L1" s="5" t="s">
        <v>21</v>
      </c>
      <c r="M1" s="5" t="s">
        <v>24</v>
      </c>
      <c r="N1" s="5" t="s">
        <v>25</v>
      </c>
      <c r="O1" s="45" t="s">
        <v>6</v>
      </c>
      <c r="Q1" s="43" t="s">
        <v>5</v>
      </c>
      <c r="R1" s="43" t="s">
        <v>6</v>
      </c>
      <c r="S1" s="5" t="s">
        <v>0</v>
      </c>
      <c r="T1" s="5" t="s">
        <v>1</v>
      </c>
      <c r="U1" s="5" t="s">
        <v>2</v>
      </c>
      <c r="V1" s="5" t="s">
        <v>3</v>
      </c>
      <c r="W1" s="5" t="s">
        <v>28</v>
      </c>
      <c r="X1" s="5" t="s">
        <v>4</v>
      </c>
      <c r="Y1" s="5" t="s">
        <v>7</v>
      </c>
      <c r="Z1" s="5" t="s">
        <v>8</v>
      </c>
      <c r="AA1" s="5" t="s">
        <v>9</v>
      </c>
      <c r="AB1" s="5" t="s">
        <v>21</v>
      </c>
      <c r="AC1" s="5" t="s">
        <v>24</v>
      </c>
      <c r="AD1" s="5" t="s">
        <v>25</v>
      </c>
    </row>
    <row r="2" spans="1:30" ht="51" customHeight="1" x14ac:dyDescent="0.35">
      <c r="A2" s="44"/>
      <c r="B2" s="44"/>
      <c r="C2" s="6" t="s">
        <v>40</v>
      </c>
      <c r="D2" s="6" t="s">
        <v>41</v>
      </c>
      <c r="E2" s="6" t="s">
        <v>42</v>
      </c>
      <c r="F2" s="6" t="s">
        <v>43</v>
      </c>
      <c r="G2" s="6" t="s">
        <v>49</v>
      </c>
      <c r="H2" s="6" t="s">
        <v>44</v>
      </c>
      <c r="I2" s="6" t="s">
        <v>45</v>
      </c>
      <c r="J2" s="6" t="s">
        <v>46</v>
      </c>
      <c r="K2" s="6" t="s">
        <v>23</v>
      </c>
      <c r="L2" s="6" t="s">
        <v>47</v>
      </c>
      <c r="M2" s="6" t="s">
        <v>48</v>
      </c>
      <c r="N2" s="36" t="s">
        <v>27</v>
      </c>
      <c r="O2" s="46"/>
      <c r="Q2" s="44"/>
      <c r="R2" s="44"/>
      <c r="S2" s="6" t="s">
        <v>40</v>
      </c>
      <c r="T2" s="6" t="s">
        <v>41</v>
      </c>
      <c r="U2" s="6" t="s">
        <v>42</v>
      </c>
      <c r="V2" s="6" t="s">
        <v>43</v>
      </c>
      <c r="W2" s="6" t="s">
        <v>49</v>
      </c>
      <c r="X2" s="6" t="s">
        <v>44</v>
      </c>
      <c r="Y2" s="6" t="s">
        <v>45</v>
      </c>
      <c r="Z2" s="6" t="s">
        <v>46</v>
      </c>
      <c r="AA2" s="6" t="s">
        <v>23</v>
      </c>
      <c r="AB2" s="6" t="s">
        <v>47</v>
      </c>
      <c r="AC2" s="6" t="s">
        <v>48</v>
      </c>
      <c r="AD2" s="36" t="s">
        <v>27</v>
      </c>
    </row>
    <row r="3" spans="1:30" ht="24.95" customHeight="1" x14ac:dyDescent="0.35">
      <c r="A3" s="3"/>
      <c r="B3" s="4"/>
      <c r="C3" s="50" t="s">
        <v>50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2"/>
      <c r="Q3" s="3"/>
      <c r="R3" s="4"/>
      <c r="S3" s="50" t="s">
        <v>50</v>
      </c>
      <c r="T3" s="51"/>
      <c r="U3" s="51"/>
      <c r="V3" s="51"/>
      <c r="W3" s="51"/>
      <c r="X3" s="51"/>
      <c r="Y3" s="51"/>
      <c r="Z3" s="51"/>
      <c r="AA3" s="51"/>
      <c r="AB3" s="51"/>
      <c r="AC3" s="51"/>
      <c r="AD3" s="52"/>
    </row>
    <row r="4" spans="1:30" ht="24.95" customHeight="1" x14ac:dyDescent="0.35">
      <c r="A4" s="3">
        <v>46027</v>
      </c>
      <c r="B4" s="4" t="str">
        <f>TEXT(A4,"dddd")</f>
        <v>Monday</v>
      </c>
      <c r="C4" s="7" t="s">
        <v>135</v>
      </c>
      <c r="D4" s="7" t="s">
        <v>136</v>
      </c>
      <c r="E4" s="7" t="s">
        <v>132</v>
      </c>
      <c r="F4" s="7" t="s">
        <v>133</v>
      </c>
      <c r="G4" s="7" t="s">
        <v>139</v>
      </c>
      <c r="H4" s="7" t="s">
        <v>134</v>
      </c>
      <c r="I4" s="7" t="s">
        <v>138</v>
      </c>
      <c r="J4" s="7" t="s">
        <v>138</v>
      </c>
      <c r="K4" s="7"/>
      <c r="L4" s="7"/>
      <c r="M4" s="7"/>
      <c r="N4" s="7"/>
      <c r="O4" s="1">
        <v>1</v>
      </c>
      <c r="Q4" s="3">
        <v>46027</v>
      </c>
      <c r="R4" s="24" t="str">
        <f>TEXT(Q4,"dddd")</f>
        <v>Monday</v>
      </c>
      <c r="S4" s="7" t="s">
        <v>132</v>
      </c>
      <c r="T4" s="7" t="s">
        <v>133</v>
      </c>
      <c r="U4" s="7" t="s">
        <v>149</v>
      </c>
      <c r="V4" s="7" t="s">
        <v>150</v>
      </c>
      <c r="W4" s="7" t="s">
        <v>139</v>
      </c>
      <c r="X4" s="7" t="s">
        <v>138</v>
      </c>
      <c r="Y4" s="7"/>
      <c r="Z4" s="7"/>
      <c r="AA4" s="7"/>
      <c r="AB4" s="7"/>
      <c r="AC4" s="7"/>
      <c r="AD4" s="33"/>
    </row>
    <row r="5" spans="1:30" ht="24.95" customHeight="1" x14ac:dyDescent="0.35">
      <c r="A5" s="3">
        <v>46028</v>
      </c>
      <c r="B5" s="4" t="str">
        <f>TEXT(A5,"dddd")</f>
        <v>Tuesday</v>
      </c>
      <c r="C5" s="7" t="s">
        <v>143</v>
      </c>
      <c r="D5" s="7" t="s">
        <v>147</v>
      </c>
      <c r="E5" s="7" t="s">
        <v>131</v>
      </c>
      <c r="F5" s="7" t="s">
        <v>130</v>
      </c>
      <c r="G5" s="7" t="s">
        <v>139</v>
      </c>
      <c r="H5" s="7" t="s">
        <v>112</v>
      </c>
      <c r="I5" s="7" t="s">
        <v>138</v>
      </c>
      <c r="J5" s="7" t="s">
        <v>138</v>
      </c>
      <c r="K5" s="7" t="s">
        <v>118</v>
      </c>
      <c r="L5" s="7"/>
      <c r="M5" s="7"/>
      <c r="N5" s="7"/>
      <c r="O5" s="1">
        <v>2</v>
      </c>
      <c r="Q5" s="3">
        <v>46028</v>
      </c>
      <c r="R5" s="24" t="str">
        <f>TEXT(Q5,"dddd")</f>
        <v>Tuesday</v>
      </c>
      <c r="S5" s="7" t="s">
        <v>131</v>
      </c>
      <c r="T5" s="7" t="s">
        <v>151</v>
      </c>
      <c r="U5" s="7" t="s">
        <v>153</v>
      </c>
      <c r="V5" s="7" t="s">
        <v>147</v>
      </c>
      <c r="W5" s="7" t="s">
        <v>139</v>
      </c>
      <c r="X5" s="7" t="s">
        <v>154</v>
      </c>
      <c r="Y5" s="7" t="s">
        <v>155</v>
      </c>
      <c r="Z5" s="7"/>
      <c r="AA5" s="7"/>
      <c r="AB5" s="7"/>
      <c r="AC5" s="7"/>
      <c r="AD5" s="33"/>
    </row>
    <row r="6" spans="1:30" ht="24.95" customHeight="1" x14ac:dyDescent="0.35">
      <c r="A6" s="3">
        <v>46029</v>
      </c>
      <c r="B6" s="4" t="str">
        <f>TEXT(A6,"dddd")</f>
        <v>Wednesday</v>
      </c>
      <c r="C6" s="7" t="s">
        <v>135</v>
      </c>
      <c r="D6" s="7" t="s">
        <v>136</v>
      </c>
      <c r="E6" s="7" t="s">
        <v>132</v>
      </c>
      <c r="F6" s="7" t="s">
        <v>133</v>
      </c>
      <c r="G6" s="7" t="s">
        <v>139</v>
      </c>
      <c r="H6" s="7" t="s">
        <v>134</v>
      </c>
      <c r="I6" s="7" t="s">
        <v>97</v>
      </c>
      <c r="J6" s="7" t="s">
        <v>97</v>
      </c>
      <c r="K6" s="7" t="s">
        <v>97</v>
      </c>
      <c r="L6" s="7" t="s">
        <v>118</v>
      </c>
      <c r="M6" s="7"/>
      <c r="N6" s="7"/>
      <c r="O6" s="1">
        <v>3</v>
      </c>
      <c r="P6" s="1" t="s">
        <v>194</v>
      </c>
      <c r="Q6" s="3">
        <v>46029</v>
      </c>
      <c r="R6" s="24" t="str">
        <f>TEXT(Q6,"dddd")</f>
        <v>Wednesday</v>
      </c>
      <c r="S6" s="7" t="s">
        <v>132</v>
      </c>
      <c r="T6" s="7" t="s">
        <v>133</v>
      </c>
      <c r="U6" s="7" t="s">
        <v>149</v>
      </c>
      <c r="V6" s="7" t="s">
        <v>150</v>
      </c>
      <c r="W6" s="7" t="s">
        <v>139</v>
      </c>
      <c r="X6" s="7" t="s">
        <v>138</v>
      </c>
      <c r="Y6" s="7" t="s">
        <v>118</v>
      </c>
      <c r="Z6" s="7"/>
      <c r="AA6" s="7"/>
      <c r="AB6" s="7"/>
      <c r="AC6" s="7"/>
      <c r="AD6" s="33"/>
    </row>
    <row r="7" spans="1:30" ht="24.95" customHeight="1" x14ac:dyDescent="0.35">
      <c r="A7" s="3">
        <v>46030</v>
      </c>
      <c r="B7" s="4" t="str">
        <f>TEXT(A7,"dddd")</f>
        <v>Thursday</v>
      </c>
      <c r="C7" s="7" t="s">
        <v>143</v>
      </c>
      <c r="D7" s="7" t="s">
        <v>147</v>
      </c>
      <c r="E7" s="7" t="s">
        <v>131</v>
      </c>
      <c r="F7" s="7" t="s">
        <v>195</v>
      </c>
      <c r="G7" s="7" t="s">
        <v>139</v>
      </c>
      <c r="H7" s="7" t="s">
        <v>112</v>
      </c>
      <c r="I7" s="7" t="s">
        <v>104</v>
      </c>
      <c r="J7" s="7" t="s">
        <v>137</v>
      </c>
      <c r="K7" s="7" t="s">
        <v>137</v>
      </c>
      <c r="L7" s="7" t="s">
        <v>118</v>
      </c>
      <c r="M7" s="7"/>
      <c r="N7" s="7"/>
      <c r="O7" s="1">
        <v>4</v>
      </c>
      <c r="P7" s="1" t="s">
        <v>194</v>
      </c>
      <c r="Q7" s="3">
        <v>46030</v>
      </c>
      <c r="R7" s="24" t="str">
        <f>TEXT(Q7,"dddd")</f>
        <v>Thursday</v>
      </c>
      <c r="S7" s="7" t="s">
        <v>131</v>
      </c>
      <c r="T7" s="7" t="s">
        <v>151</v>
      </c>
      <c r="U7" s="7" t="s">
        <v>153</v>
      </c>
      <c r="V7" s="7" t="s">
        <v>147</v>
      </c>
      <c r="W7" s="7" t="s">
        <v>139</v>
      </c>
      <c r="X7" s="7" t="s">
        <v>154</v>
      </c>
      <c r="Y7" s="7" t="s">
        <v>155</v>
      </c>
      <c r="Z7" s="7"/>
      <c r="AA7" s="7"/>
      <c r="AB7" s="7"/>
      <c r="AC7" s="7"/>
      <c r="AD7" s="33"/>
    </row>
    <row r="8" spans="1:30" ht="24.95" customHeight="1" x14ac:dyDescent="0.35">
      <c r="A8" s="3">
        <v>46031</v>
      </c>
      <c r="B8" s="4" t="str">
        <f>TEXT(A8,"dddd")</f>
        <v>Friday</v>
      </c>
      <c r="C8" s="7" t="s">
        <v>135</v>
      </c>
      <c r="D8" s="7" t="s">
        <v>136</v>
      </c>
      <c r="E8" s="7" t="s">
        <v>132</v>
      </c>
      <c r="F8" s="7" t="s">
        <v>133</v>
      </c>
      <c r="G8" s="7"/>
      <c r="H8" s="7" t="s">
        <v>134</v>
      </c>
      <c r="I8" s="7" t="s">
        <v>76</v>
      </c>
      <c r="J8" s="7" t="s">
        <v>137</v>
      </c>
      <c r="K8" s="7" t="s">
        <v>137</v>
      </c>
      <c r="L8" s="7"/>
      <c r="M8" s="7"/>
      <c r="N8" s="7"/>
      <c r="O8" s="1">
        <v>5</v>
      </c>
      <c r="P8" s="1" t="s">
        <v>194</v>
      </c>
      <c r="Q8" s="3">
        <v>46031</v>
      </c>
      <c r="R8" s="24" t="str">
        <f>TEXT(Q8,"dddd")</f>
        <v>Friday</v>
      </c>
      <c r="S8" s="7" t="s">
        <v>132</v>
      </c>
      <c r="T8" s="7" t="s">
        <v>133</v>
      </c>
      <c r="U8" s="7" t="s">
        <v>149</v>
      </c>
      <c r="V8" s="7" t="s">
        <v>150</v>
      </c>
      <c r="W8" s="7" t="s">
        <v>139</v>
      </c>
      <c r="X8" s="7" t="s">
        <v>138</v>
      </c>
      <c r="Y8" s="7"/>
      <c r="Z8" s="7"/>
      <c r="AA8" s="7"/>
      <c r="AB8" s="7"/>
      <c r="AC8" s="7"/>
      <c r="AD8" s="33"/>
    </row>
    <row r="9" spans="1:30" ht="24.95" customHeight="1" x14ac:dyDescent="0.35">
      <c r="A9" s="3">
        <v>46032</v>
      </c>
      <c r="B9" s="4" t="str">
        <f>TEXT(A9,"dddd")</f>
        <v>Saturday</v>
      </c>
      <c r="C9" s="8"/>
      <c r="D9" s="8"/>
      <c r="E9" s="8"/>
      <c r="F9" s="8"/>
      <c r="G9" s="8"/>
      <c r="H9" s="7" t="s">
        <v>139</v>
      </c>
      <c r="I9" s="7" t="s">
        <v>76</v>
      </c>
      <c r="J9" s="7" t="s">
        <v>76</v>
      </c>
      <c r="K9" s="7"/>
      <c r="L9" s="7"/>
      <c r="M9" s="7"/>
      <c r="N9" s="7"/>
      <c r="Q9" s="3">
        <v>46032</v>
      </c>
      <c r="R9" s="24" t="str">
        <f>TEXT(Q9,"dddd")</f>
        <v>Saturday</v>
      </c>
      <c r="S9" s="8"/>
      <c r="T9" s="8"/>
      <c r="U9" s="8"/>
      <c r="V9" s="8"/>
      <c r="W9" s="8"/>
      <c r="X9" s="7" t="s">
        <v>139</v>
      </c>
      <c r="Y9" s="7"/>
      <c r="Z9" s="7"/>
      <c r="AA9" s="7"/>
      <c r="AB9" s="7"/>
      <c r="AC9" s="7"/>
      <c r="AD9" s="33"/>
    </row>
    <row r="10" spans="1:30" ht="30" customHeight="1" x14ac:dyDescent="0.35">
      <c r="A10" s="3">
        <v>46034</v>
      </c>
      <c r="B10" s="24" t="str">
        <f t="shared" ref="B10:B16" si="0">TEXT(A10,"dddd")</f>
        <v>Monday</v>
      </c>
      <c r="C10" s="7" t="s">
        <v>135</v>
      </c>
      <c r="D10" s="7" t="s">
        <v>136</v>
      </c>
      <c r="E10" s="7" t="s">
        <v>132</v>
      </c>
      <c r="F10" s="7" t="s">
        <v>133</v>
      </c>
      <c r="G10" s="7" t="s">
        <v>139</v>
      </c>
      <c r="H10" s="7" t="s">
        <v>134</v>
      </c>
      <c r="I10" s="7" t="s">
        <v>138</v>
      </c>
      <c r="J10" s="7" t="s">
        <v>138</v>
      </c>
      <c r="K10" s="7" t="s">
        <v>193</v>
      </c>
      <c r="L10" s="7"/>
      <c r="M10" s="7"/>
      <c r="N10" s="33"/>
      <c r="O10" s="1">
        <v>6</v>
      </c>
      <c r="Q10" s="3">
        <v>46034</v>
      </c>
      <c r="R10" s="24" t="str">
        <f t="shared" ref="R10:R14" si="1">TEXT(Q10,"dddd")</f>
        <v>Monday</v>
      </c>
      <c r="S10" s="7" t="s">
        <v>132</v>
      </c>
      <c r="T10" s="7" t="s">
        <v>133</v>
      </c>
      <c r="U10" s="7" t="s">
        <v>149</v>
      </c>
      <c r="V10" s="7" t="s">
        <v>150</v>
      </c>
      <c r="W10" s="7" t="s">
        <v>139</v>
      </c>
      <c r="X10" s="7" t="s">
        <v>138</v>
      </c>
      <c r="Y10" s="7"/>
      <c r="Z10" s="38"/>
      <c r="AA10" s="38"/>
      <c r="AB10" s="38"/>
      <c r="AC10" s="38"/>
      <c r="AD10" s="33"/>
    </row>
    <row r="11" spans="1:30" ht="30" customHeight="1" x14ac:dyDescent="0.35">
      <c r="A11" s="3">
        <v>46035</v>
      </c>
      <c r="B11" s="24" t="str">
        <f t="shared" si="0"/>
        <v>Tuesday</v>
      </c>
      <c r="C11" s="7" t="s">
        <v>143</v>
      </c>
      <c r="D11" s="7" t="s">
        <v>147</v>
      </c>
      <c r="E11" s="7" t="s">
        <v>131</v>
      </c>
      <c r="F11" s="7" t="s">
        <v>130</v>
      </c>
      <c r="G11" s="7" t="s">
        <v>139</v>
      </c>
      <c r="H11" s="7" t="s">
        <v>112</v>
      </c>
      <c r="I11" s="7" t="s">
        <v>193</v>
      </c>
      <c r="J11" s="7" t="s">
        <v>137</v>
      </c>
      <c r="K11" s="7" t="s">
        <v>137</v>
      </c>
      <c r="L11" s="7" t="s">
        <v>118</v>
      </c>
      <c r="M11" s="7"/>
      <c r="N11" s="33"/>
      <c r="O11" s="1">
        <v>7</v>
      </c>
      <c r="Q11" s="3">
        <v>46035</v>
      </c>
      <c r="R11" s="24" t="str">
        <f t="shared" si="1"/>
        <v>Tuesday</v>
      </c>
      <c r="S11" s="7" t="s">
        <v>131</v>
      </c>
      <c r="T11" s="7" t="s">
        <v>151</v>
      </c>
      <c r="U11" s="7" t="s">
        <v>153</v>
      </c>
      <c r="V11" s="7" t="s">
        <v>147</v>
      </c>
      <c r="W11" s="7" t="s">
        <v>139</v>
      </c>
      <c r="X11" s="7" t="s">
        <v>154</v>
      </c>
      <c r="Y11" s="7" t="s">
        <v>155</v>
      </c>
      <c r="Z11" s="39"/>
      <c r="AA11" s="40"/>
      <c r="AB11" s="40"/>
      <c r="AC11" s="40"/>
      <c r="AD11" s="33"/>
    </row>
    <row r="12" spans="1:30" ht="30" customHeight="1" x14ac:dyDescent="0.35">
      <c r="A12" s="3">
        <v>46036</v>
      </c>
      <c r="B12" s="24" t="str">
        <f t="shared" si="0"/>
        <v>Wednesday</v>
      </c>
      <c r="C12" s="47" t="s">
        <v>140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9"/>
      <c r="P12" s="1" t="s">
        <v>188</v>
      </c>
      <c r="Q12" s="3">
        <v>46036</v>
      </c>
      <c r="R12" s="24" t="str">
        <f t="shared" si="1"/>
        <v>Wednesday</v>
      </c>
      <c r="S12" s="7" t="s">
        <v>132</v>
      </c>
      <c r="T12" s="7" t="s">
        <v>133</v>
      </c>
      <c r="U12" s="7" t="s">
        <v>149</v>
      </c>
      <c r="V12" s="7" t="s">
        <v>150</v>
      </c>
      <c r="W12" s="7" t="s">
        <v>139</v>
      </c>
      <c r="X12" s="7" t="s">
        <v>138</v>
      </c>
      <c r="Y12" s="7" t="s">
        <v>118</v>
      </c>
      <c r="Z12" s="38"/>
      <c r="AA12" s="38"/>
      <c r="AB12" s="38"/>
      <c r="AC12" s="38"/>
      <c r="AD12" s="33"/>
    </row>
    <row r="13" spans="1:30" ht="30" customHeight="1" x14ac:dyDescent="0.35">
      <c r="A13" s="3">
        <v>46037</v>
      </c>
      <c r="B13" s="24" t="str">
        <f t="shared" si="0"/>
        <v>Thursday</v>
      </c>
      <c r="C13" s="7" t="s">
        <v>143</v>
      </c>
      <c r="D13" s="7" t="s">
        <v>147</v>
      </c>
      <c r="E13" s="7" t="s">
        <v>189</v>
      </c>
      <c r="F13" s="7" t="s">
        <v>190</v>
      </c>
      <c r="G13" s="7" t="s">
        <v>139</v>
      </c>
      <c r="H13" s="7" t="s">
        <v>112</v>
      </c>
      <c r="I13" s="7" t="s">
        <v>193</v>
      </c>
      <c r="J13" s="7" t="s">
        <v>137</v>
      </c>
      <c r="K13" s="7" t="s">
        <v>137</v>
      </c>
      <c r="L13" s="7"/>
      <c r="M13" s="7"/>
      <c r="N13" s="33"/>
      <c r="O13" s="1">
        <v>8</v>
      </c>
      <c r="P13" s="1" t="s">
        <v>22</v>
      </c>
      <c r="Q13" s="3">
        <v>46037</v>
      </c>
      <c r="R13" s="24" t="str">
        <f t="shared" si="1"/>
        <v>Thursday</v>
      </c>
      <c r="S13" s="7" t="s">
        <v>131</v>
      </c>
      <c r="T13" s="7" t="s">
        <v>151</v>
      </c>
      <c r="U13" s="7" t="s">
        <v>153</v>
      </c>
      <c r="V13" s="7" t="s">
        <v>147</v>
      </c>
      <c r="W13" s="7" t="s">
        <v>139</v>
      </c>
      <c r="X13" s="7" t="s">
        <v>154</v>
      </c>
      <c r="Y13" s="7" t="s">
        <v>155</v>
      </c>
      <c r="Z13" s="41"/>
      <c r="AA13" s="41"/>
      <c r="AB13" s="41"/>
      <c r="AC13" s="42"/>
      <c r="AD13" s="33"/>
    </row>
    <row r="14" spans="1:30" ht="30" customHeight="1" x14ac:dyDescent="0.35">
      <c r="A14" s="3">
        <v>46038</v>
      </c>
      <c r="B14" s="24" t="str">
        <f t="shared" si="0"/>
        <v>Friday</v>
      </c>
      <c r="C14" s="7" t="s">
        <v>135</v>
      </c>
      <c r="D14" s="7" t="s">
        <v>136</v>
      </c>
      <c r="E14" s="7" t="s">
        <v>132</v>
      </c>
      <c r="F14" s="7" t="s">
        <v>133</v>
      </c>
      <c r="G14" s="7"/>
      <c r="H14" s="7" t="s">
        <v>134</v>
      </c>
      <c r="I14" s="7" t="s">
        <v>76</v>
      </c>
      <c r="J14" s="7" t="s">
        <v>138</v>
      </c>
      <c r="K14" s="7" t="s">
        <v>138</v>
      </c>
      <c r="L14" s="7"/>
      <c r="M14" s="7"/>
      <c r="N14" s="33"/>
      <c r="O14" s="1">
        <v>9</v>
      </c>
      <c r="Q14" s="3">
        <v>46038</v>
      </c>
      <c r="R14" s="24" t="str">
        <f t="shared" si="1"/>
        <v>Friday</v>
      </c>
      <c r="S14" s="7" t="s">
        <v>132</v>
      </c>
      <c r="T14" s="7" t="s">
        <v>133</v>
      </c>
      <c r="U14" s="7" t="s">
        <v>149</v>
      </c>
      <c r="V14" s="7" t="s">
        <v>150</v>
      </c>
      <c r="W14" s="7" t="s">
        <v>139</v>
      </c>
      <c r="X14" s="7" t="s">
        <v>138</v>
      </c>
      <c r="Y14" s="7"/>
      <c r="Z14" s="39"/>
      <c r="AA14" s="40"/>
      <c r="AB14" s="40"/>
      <c r="AC14" s="40"/>
      <c r="AD14" s="33"/>
    </row>
    <row r="15" spans="1:30" ht="30" customHeight="1" x14ac:dyDescent="0.35">
      <c r="A15" s="3">
        <v>46039</v>
      </c>
      <c r="B15" s="24" t="str">
        <f t="shared" si="0"/>
        <v>Saturday</v>
      </c>
      <c r="C15" s="7" t="s">
        <v>143</v>
      </c>
      <c r="D15" s="7" t="s">
        <v>147</v>
      </c>
      <c r="E15" s="7" t="s">
        <v>131</v>
      </c>
      <c r="F15" s="7" t="s">
        <v>130</v>
      </c>
      <c r="G15" s="7" t="s">
        <v>112</v>
      </c>
      <c r="H15" s="7" t="s">
        <v>139</v>
      </c>
      <c r="I15" s="7" t="s">
        <v>193</v>
      </c>
      <c r="J15" s="7" t="s">
        <v>76</v>
      </c>
      <c r="K15" s="7" t="s">
        <v>76</v>
      </c>
      <c r="L15" s="7"/>
      <c r="M15" s="7"/>
      <c r="N15" s="33"/>
      <c r="O15" s="1">
        <v>10</v>
      </c>
      <c r="Q15" s="3"/>
      <c r="R15" s="24"/>
      <c r="S15" s="7"/>
      <c r="T15" s="7"/>
      <c r="U15" s="7"/>
      <c r="V15" s="7"/>
      <c r="W15" s="38"/>
      <c r="X15" s="7"/>
      <c r="Y15" s="7"/>
      <c r="Z15" s="38"/>
      <c r="AA15" s="38"/>
      <c r="AB15" s="38"/>
      <c r="AC15" s="38"/>
      <c r="AD15" s="33"/>
    </row>
    <row r="16" spans="1:30" ht="30" customHeight="1" thickBot="1" x14ac:dyDescent="0.4">
      <c r="A16" s="3">
        <v>46040</v>
      </c>
      <c r="B16" s="24" t="str">
        <f t="shared" si="0"/>
        <v>Sunday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Q16" s="3"/>
      <c r="R16" s="24"/>
      <c r="S16" s="7"/>
      <c r="T16" s="7"/>
      <c r="U16" s="7"/>
      <c r="V16" s="7"/>
      <c r="W16" s="38"/>
      <c r="X16" s="7"/>
      <c r="Y16" s="7"/>
      <c r="Z16" s="39"/>
      <c r="AA16" s="40"/>
      <c r="AB16" s="40"/>
      <c r="AC16" s="40"/>
      <c r="AD16" s="34"/>
    </row>
    <row r="17" spans="3:14" ht="18" customHeight="1" x14ac:dyDescent="0.35"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8" spans="3:14" ht="18" customHeight="1" x14ac:dyDescent="0.35"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spans="3:14" ht="18" customHeight="1" x14ac:dyDescent="0.35"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spans="3:14" ht="18" customHeight="1" x14ac:dyDescent="0.35">
      <c r="C20" s="26" t="s">
        <v>30</v>
      </c>
      <c r="D20" s="27">
        <f>COUNTIF($C$10:$N$16, "IL(A)/D&amp;IT")</f>
        <v>2</v>
      </c>
      <c r="E20" s="27">
        <f>COUNTIF($C$10:$N$16, "DRM(A)/ML&amp;AI('C)")</f>
        <v>0</v>
      </c>
      <c r="F20" s="27">
        <f>COUNTIF($C$10:$N$16, "DRM(A)")</f>
        <v>0</v>
      </c>
      <c r="G20" s="27"/>
      <c r="H20" s="27">
        <f>COUNTIF($C$10:$N$16, "DRM(A)/DRM('C)/ML&amp;AI('C)")</f>
        <v>0</v>
      </c>
      <c r="I20" s="27"/>
      <c r="J20" s="27"/>
      <c r="K20" s="27"/>
      <c r="L20" s="27"/>
      <c r="M20" s="27"/>
      <c r="N20" s="27">
        <f>SUM(D20:M20)</f>
        <v>2</v>
      </c>
    </row>
    <row r="21" spans="3:14" ht="18" customHeight="1" x14ac:dyDescent="0.35">
      <c r="C21" s="26" t="s">
        <v>159</v>
      </c>
      <c r="D21" s="27">
        <f>COUNTIF($C$10:$N$16, "IF(A)/PPC(B)/DIW")</f>
        <v>2</v>
      </c>
      <c r="E21" s="27">
        <f>COUNTIF($C$10:$N$16, "DRM(B)")</f>
        <v>0</v>
      </c>
      <c r="F21" s="27">
        <f>COUNTIF($C$10:$N$16, "DRM(B)/PDBE(A)/SMKT(B)")</f>
        <v>0</v>
      </c>
      <c r="G21" s="27">
        <f>COUNTIF($C$10:$N$16, "DC(A)/DRM(B)")</f>
        <v>0</v>
      </c>
      <c r="H21" s="27">
        <f>COUNTIF($C$10:$N$16, "DRM(B)/DRM(D)")</f>
        <v>0</v>
      </c>
      <c r="I21" s="27"/>
      <c r="J21" s="27"/>
      <c r="K21" s="27"/>
      <c r="L21" s="27"/>
      <c r="M21" s="27"/>
      <c r="N21" s="27">
        <f t="shared" ref="N21:N49" si="2">SUM(D21:M21)</f>
        <v>2</v>
      </c>
    </row>
    <row r="22" spans="3:14" ht="18" customHeight="1" x14ac:dyDescent="0.35">
      <c r="C22" s="26" t="s">
        <v>160</v>
      </c>
      <c r="D22" s="27">
        <f>COUNTIF($C$10:$N$16, "IF(B)/PPC(A)/GBL")</f>
        <v>2</v>
      </c>
      <c r="E22" s="27">
        <f>COUNTIF($C$10:$N$16, "DRM('C)")</f>
        <v>0</v>
      </c>
      <c r="F22" s="27">
        <f>COUNTIF($C$10:$N$16, "DRM(A)/DRM('C)/ML&amp;AI('C)")</f>
        <v>0</v>
      </c>
      <c r="G22" s="27"/>
      <c r="H22" s="27">
        <f>COUNTIF($C$10:$N$16, "DRM('C)")</f>
        <v>0</v>
      </c>
      <c r="I22" s="27"/>
      <c r="J22" s="27"/>
      <c r="K22" s="27"/>
      <c r="L22" s="27"/>
      <c r="M22" s="27"/>
      <c r="N22" s="27">
        <f t="shared" si="2"/>
        <v>2</v>
      </c>
    </row>
    <row r="23" spans="3:14" ht="18" customHeight="1" x14ac:dyDescent="0.35">
      <c r="C23" s="26" t="s">
        <v>161</v>
      </c>
      <c r="D23" s="27">
        <f>COUNTIF($C$10:$N$16, "M&amp;A(A)/FT(B)/PRM(A)")</f>
        <v>2</v>
      </c>
      <c r="E23" s="27">
        <f>COUNTIF($C$10:$N$16, "DRM(D)/SMKT(A)")</f>
        <v>0</v>
      </c>
      <c r="F23" s="27">
        <f>COUNTIF($C$10:$N$16, "DRM(D)/LSS(A)")</f>
        <v>0</v>
      </c>
      <c r="G23" s="27"/>
      <c r="H23" s="27">
        <f>COUNTIF($C$10:$N$16, "DRM(B)/DRM(D)")</f>
        <v>0</v>
      </c>
      <c r="I23" s="27"/>
      <c r="J23" s="27"/>
      <c r="K23" s="27"/>
      <c r="L23" s="27"/>
      <c r="M23" s="27"/>
      <c r="N23" s="27">
        <f t="shared" si="2"/>
        <v>2</v>
      </c>
    </row>
    <row r="24" spans="3:14" ht="18" customHeight="1" x14ac:dyDescent="0.35">
      <c r="C24" s="26" t="s">
        <v>162</v>
      </c>
      <c r="D24" s="27">
        <f>COUNTIF($C$10:$N$16, "M&amp;A(B)/FT(A)/PRM(B)")</f>
        <v>2</v>
      </c>
      <c r="E24" s="27">
        <f>COUNTIF($C$10:$N$16, "INB(A)")</f>
        <v>0</v>
      </c>
      <c r="F24" s="27">
        <f>COUNTIF($C$10:$N$16, "INB(A)/DADM")</f>
        <v>0</v>
      </c>
      <c r="G24" s="27" t="e">
        <f>COUNTIF(#REF!, "INB(A)/SCM(B)")</f>
        <v>#REF!</v>
      </c>
      <c r="H24" s="27"/>
      <c r="I24" s="27"/>
      <c r="J24" s="27"/>
      <c r="K24" s="27"/>
      <c r="L24" s="27"/>
      <c r="M24" s="27"/>
      <c r="N24" s="27" t="e">
        <f t="shared" si="2"/>
        <v>#REF!</v>
      </c>
    </row>
    <row r="25" spans="3:14" ht="18" customHeight="1" x14ac:dyDescent="0.35">
      <c r="C25" s="26" t="s">
        <v>163</v>
      </c>
      <c r="D25" s="27">
        <f>COUNTIF($C$10:$N$16, "M&amp;A('C)/MA")</f>
        <v>2</v>
      </c>
      <c r="E25" s="27">
        <f>COUNTIF($C$10:$N$16, "INB(B)")</f>
        <v>0</v>
      </c>
      <c r="F25" s="27"/>
      <c r="G25" s="27"/>
      <c r="H25" s="27"/>
      <c r="I25" s="27"/>
      <c r="J25" s="27"/>
      <c r="K25" s="27"/>
      <c r="L25" s="27"/>
      <c r="M25" s="27"/>
      <c r="N25" s="27">
        <f t="shared" si="2"/>
        <v>2</v>
      </c>
    </row>
    <row r="26" spans="3:14" ht="18" customHeight="1" x14ac:dyDescent="0.35">
      <c r="C26" s="26" t="s">
        <v>164</v>
      </c>
      <c r="D26" s="27">
        <f>COUNTIF($C$10:$N$16, "IF(B)/PPC(A)/GBL")</f>
        <v>2</v>
      </c>
      <c r="E26" s="27">
        <f>COUNTIF($C$10:$N$16, "INB('C)")</f>
        <v>0</v>
      </c>
      <c r="F26" s="27"/>
      <c r="G26" s="27"/>
      <c r="H26" s="27"/>
      <c r="I26" s="27"/>
      <c r="J26" s="27"/>
      <c r="K26" s="27"/>
      <c r="L26" s="27"/>
      <c r="M26" s="27"/>
      <c r="N26" s="27">
        <f t="shared" si="2"/>
        <v>2</v>
      </c>
    </row>
    <row r="27" spans="3:14" ht="18" customHeight="1" x14ac:dyDescent="0.35">
      <c r="C27" s="26" t="s">
        <v>152</v>
      </c>
      <c r="D27" s="27">
        <f>COUNTIF($C$10:$N$16, "IF(A)/PPC(B)/DIW")</f>
        <v>2</v>
      </c>
      <c r="E27" s="27">
        <f>COUNTIF($C$10:$N$16, "VALU(A)")</f>
        <v>0</v>
      </c>
      <c r="F27" s="27">
        <f>COUNTIF($C$10:$N$16, "VALU(A)/TEOM(B)")</f>
        <v>0</v>
      </c>
      <c r="G27" s="27"/>
      <c r="H27" s="27"/>
      <c r="I27" s="27"/>
      <c r="J27" s="27"/>
      <c r="K27" s="27"/>
      <c r="L27" s="27"/>
      <c r="M27" s="27"/>
      <c r="N27" s="27">
        <f t="shared" si="2"/>
        <v>2</v>
      </c>
    </row>
    <row r="28" spans="3:14" ht="18" customHeight="1" x14ac:dyDescent="0.35">
      <c r="C28" s="26" t="s">
        <v>165</v>
      </c>
      <c r="D28" s="27">
        <f>COUNTIF($C$10:$N$16, "PPC('C)/RURMKT(B)")</f>
        <v>3</v>
      </c>
      <c r="E28" s="27">
        <f>COUNTIF($C$10:$N$16, "VALU(B)")</f>
        <v>0</v>
      </c>
      <c r="F28" s="27">
        <f>COUNTIF($C$10:$N$16, "VALU(B)/TEOM(A)")</f>
        <v>0</v>
      </c>
      <c r="G28" s="27"/>
      <c r="H28" s="27"/>
      <c r="I28" s="27"/>
      <c r="J28" s="27"/>
      <c r="K28" s="27"/>
      <c r="L28" s="27"/>
      <c r="M28" s="27"/>
      <c r="N28" s="27">
        <f t="shared" si="2"/>
        <v>3</v>
      </c>
    </row>
    <row r="29" spans="3:14" ht="18" customHeight="1" x14ac:dyDescent="0.35">
      <c r="C29" s="26" t="s">
        <v>70</v>
      </c>
      <c r="D29" s="27">
        <f>COUNTIF($C$10:$N$16, "M&amp;A('C)/MA")</f>
        <v>2</v>
      </c>
      <c r="E29" s="27"/>
      <c r="F29" s="27"/>
      <c r="G29" s="27"/>
      <c r="H29" s="27"/>
      <c r="I29" s="27"/>
      <c r="J29" s="27"/>
      <c r="K29" s="27"/>
      <c r="L29" s="27"/>
      <c r="M29" s="27"/>
      <c r="N29" s="27">
        <f t="shared" si="2"/>
        <v>2</v>
      </c>
    </row>
    <row r="30" spans="3:14" ht="18" customHeight="1" x14ac:dyDescent="0.35">
      <c r="C30" s="26" t="s">
        <v>76</v>
      </c>
      <c r="D30" s="27">
        <f>COUNTIF($C$10:$N$16, "CRM")</f>
        <v>3</v>
      </c>
      <c r="E30" s="27"/>
      <c r="F30" s="27"/>
      <c r="G30" s="27"/>
      <c r="H30" s="27"/>
      <c r="I30" s="27"/>
      <c r="J30" s="27"/>
      <c r="K30" s="27"/>
      <c r="L30" s="27"/>
      <c r="M30" s="27"/>
      <c r="N30" s="27">
        <f t="shared" si="2"/>
        <v>3</v>
      </c>
    </row>
    <row r="31" spans="3:14" ht="18" customHeight="1" x14ac:dyDescent="0.35">
      <c r="C31" s="26" t="s">
        <v>143</v>
      </c>
      <c r="D31" s="27">
        <f>COUNTIF($C$10:$N$16, "RURMKT(A)")</f>
        <v>3</v>
      </c>
      <c r="E31" s="27">
        <f>COUNTIF($C$10:$N$16, "D&amp;IT")</f>
        <v>0</v>
      </c>
      <c r="F31" s="27">
        <f>COUNTIF($C$10:$N$16, "ML&amp;AI('C)/D&amp;IT")</f>
        <v>0</v>
      </c>
      <c r="G31" s="27"/>
      <c r="H31" s="27"/>
      <c r="I31" s="27"/>
      <c r="J31" s="27"/>
      <c r="K31" s="27"/>
      <c r="L31" s="27"/>
      <c r="M31" s="27"/>
      <c r="N31" s="27">
        <f t="shared" si="2"/>
        <v>3</v>
      </c>
    </row>
    <row r="32" spans="3:14" ht="18" customHeight="1" x14ac:dyDescent="0.35">
      <c r="C32" s="26" t="s">
        <v>166</v>
      </c>
      <c r="D32" s="27">
        <f>COUNTIF($C$10:$N$16, "PPC('C)/RURMKT(B)")</f>
        <v>3</v>
      </c>
      <c r="E32" s="27">
        <f>COUNTIF($C$10:$N$16, "SBM(A)")</f>
        <v>0</v>
      </c>
      <c r="F32" s="27">
        <f>COUNTIF($C$10:$N$16, "SBM(A)/SBM(B)")</f>
        <v>0</v>
      </c>
      <c r="G32" s="2"/>
      <c r="H32" s="2"/>
      <c r="I32" s="2"/>
      <c r="J32" s="2"/>
      <c r="K32" s="2"/>
      <c r="L32" s="2"/>
      <c r="M32" s="2"/>
      <c r="N32" s="27">
        <f t="shared" si="2"/>
        <v>3</v>
      </c>
    </row>
    <row r="33" spans="3:14" ht="18" customHeight="1" x14ac:dyDescent="0.35">
      <c r="C33" s="9" t="s">
        <v>83</v>
      </c>
      <c r="D33" s="27">
        <f>COUNTIF($C$10:$N$16, "IL(B)/IM")</f>
        <v>2</v>
      </c>
      <c r="E33" s="27">
        <f>COUNTIF($C$10:$N$16, "INB(A)/DADM")</f>
        <v>0</v>
      </c>
      <c r="F33" s="27">
        <f>COUNTIF($C$10:$N$16, "SBM(A)/SBM(B)")</f>
        <v>0</v>
      </c>
      <c r="G33" s="2"/>
      <c r="H33" s="2"/>
      <c r="I33" s="2"/>
      <c r="J33" s="2"/>
      <c r="K33" s="2"/>
      <c r="L33" s="2"/>
      <c r="M33" s="2"/>
      <c r="N33" s="27">
        <f t="shared" si="2"/>
        <v>2</v>
      </c>
    </row>
    <row r="34" spans="3:14" ht="18" customHeight="1" x14ac:dyDescent="0.35">
      <c r="C34" s="9" t="s">
        <v>167</v>
      </c>
      <c r="D34" s="27">
        <f>COUNTIF($C$10:$N$16, "MS(A)/MS('C)")</f>
        <v>4</v>
      </c>
      <c r="E34" s="27">
        <f>COUNTIF($C$10:$N$16, "B2B(A)")</f>
        <v>0</v>
      </c>
      <c r="F34" s="27"/>
      <c r="G34" s="2">
        <f>COUNTIF($C$10:$N$16, "B2B(B)/T&amp;D")</f>
        <v>0</v>
      </c>
      <c r="H34" s="2">
        <f>COUNTIF($C$10:$N$16, "B2B(B)/T&amp;D")</f>
        <v>0</v>
      </c>
      <c r="I34" s="2"/>
      <c r="J34" s="2"/>
      <c r="K34" s="2"/>
      <c r="L34" s="2"/>
      <c r="M34" s="2"/>
      <c r="N34" s="27">
        <f t="shared" si="2"/>
        <v>4</v>
      </c>
    </row>
    <row r="35" spans="3:14" ht="18" customHeight="1" x14ac:dyDescent="0.35">
      <c r="C35" s="9" t="s">
        <v>168</v>
      </c>
      <c r="D35" s="27">
        <f>COUNTIF($C$10:$N$16, "MS(B)/MS(D)/PS&amp;PS")</f>
        <v>4</v>
      </c>
      <c r="E35" s="27">
        <f>COUNTIF($C$10:$N$16, "B2B(B)")</f>
        <v>0</v>
      </c>
      <c r="F35" s="2"/>
      <c r="G35" s="2"/>
      <c r="H35" s="2"/>
      <c r="I35" s="2"/>
      <c r="J35" s="2"/>
      <c r="K35" s="2"/>
      <c r="L35" s="2"/>
      <c r="M35" s="2"/>
      <c r="N35" s="27">
        <f t="shared" si="2"/>
        <v>4</v>
      </c>
    </row>
    <row r="36" spans="3:14" ht="18" customHeight="1" x14ac:dyDescent="0.35">
      <c r="C36" s="9" t="s">
        <v>169</v>
      </c>
      <c r="D36" s="27">
        <f>COUNTIF($C$10:$N$16, "MS(A)/MS('C)")</f>
        <v>4</v>
      </c>
      <c r="E36" s="27">
        <f>COUNTIF($C$10:$N$16, "DRM(D)/SMKT(A)")</f>
        <v>0</v>
      </c>
      <c r="F36" s="27">
        <f>COUNTIF($C$10:$N$16, "LSS(A)/SMKT(A)")</f>
        <v>0</v>
      </c>
      <c r="G36" s="2">
        <f>COUNTIF($C$10:$N$16, "B2B(B)/T&amp;D")</f>
        <v>0</v>
      </c>
      <c r="H36" s="2">
        <f>COUNTIF($C$10:$N$16, "B2B(B)/T&amp;D")</f>
        <v>0</v>
      </c>
      <c r="I36" s="2"/>
      <c r="J36" s="2"/>
      <c r="K36" s="2"/>
      <c r="L36" s="2"/>
      <c r="M36" s="2"/>
      <c r="N36" s="27">
        <f t="shared" si="2"/>
        <v>4</v>
      </c>
    </row>
    <row r="37" spans="3:14" ht="18" customHeight="1" x14ac:dyDescent="0.35">
      <c r="C37" s="9" t="s">
        <v>170</v>
      </c>
      <c r="D37" s="27">
        <f>COUNTIF($C$10:$N$16, "MS(B)/MS(D)/PS&amp;PS")</f>
        <v>4</v>
      </c>
      <c r="E37" s="27">
        <f>COUNTIF($C$10:$N$16, "TEOM(A)/SMKT(B)")</f>
        <v>0</v>
      </c>
      <c r="F37" s="27">
        <f>COUNTIF($C$10:$N$16, "DRM(B)/PDBE(A)/SMKT(B)")</f>
        <v>0</v>
      </c>
      <c r="G37" s="27">
        <f>COUNTIF($C$10:$N$16, "SMKT")</f>
        <v>0</v>
      </c>
      <c r="H37" s="27">
        <f>COUNTIF($C$10:$N$16, "SMKT(B)")</f>
        <v>0</v>
      </c>
      <c r="I37" s="2"/>
      <c r="J37" s="2"/>
      <c r="K37" s="2"/>
      <c r="L37" s="2"/>
      <c r="M37" s="2"/>
      <c r="N37" s="27">
        <f t="shared" si="2"/>
        <v>4</v>
      </c>
    </row>
    <row r="38" spans="3:14" ht="18" customHeight="1" x14ac:dyDescent="0.35">
      <c r="C38" s="9" t="s">
        <v>93</v>
      </c>
      <c r="D38" s="27">
        <f>COUNTIF($C$10:$N$16, "IF(B)/PPC(A)/GBL")</f>
        <v>2</v>
      </c>
      <c r="E38" s="27">
        <f>COUNTIF($C$10:$N$16, "DM(B)/DC(A)")</f>
        <v>0</v>
      </c>
      <c r="F38" s="27">
        <f>COUNTIF($C$10:$N$16, "DM(A)/DM(B)")</f>
        <v>0</v>
      </c>
      <c r="G38" s="2"/>
      <c r="H38" s="2"/>
      <c r="I38" s="2"/>
      <c r="J38" s="2"/>
      <c r="K38" s="2"/>
      <c r="L38" s="2"/>
      <c r="M38" s="2"/>
      <c r="N38" s="27">
        <f t="shared" si="2"/>
        <v>2</v>
      </c>
    </row>
    <row r="39" spans="3:14" ht="18" customHeight="1" x14ac:dyDescent="0.35">
      <c r="C39" s="9" t="s">
        <v>97</v>
      </c>
      <c r="D39" s="27">
        <f>COUNTIF($C$10:$N$16, "IF(A)/PPC(B)/DIW")</f>
        <v>2</v>
      </c>
      <c r="E39" s="27">
        <f>COUNTIF($C$10:$N$16, "DM(A)/DC(B)")</f>
        <v>0</v>
      </c>
      <c r="F39" s="27">
        <f>COUNTIF($C$10:$N$16, "DM(A)/DM(B)")</f>
        <v>0</v>
      </c>
      <c r="G39" s="2"/>
      <c r="H39" s="2"/>
      <c r="I39" s="2"/>
      <c r="J39" s="2"/>
      <c r="K39" s="2"/>
      <c r="L39" s="2"/>
      <c r="M39" s="2"/>
      <c r="N39" s="27">
        <f t="shared" si="2"/>
        <v>2</v>
      </c>
    </row>
    <row r="40" spans="3:14" ht="18" customHeight="1" x14ac:dyDescent="0.35">
      <c r="C40" s="9" t="s">
        <v>101</v>
      </c>
      <c r="D40" s="27">
        <f>COUNTIF($C$10:$N$16, "MS(B)/MS(D)/PS&amp;PS")</f>
        <v>4</v>
      </c>
      <c r="E40" s="27">
        <f>COUNTIF($C$10:$N$16, "PDBE(A)")</f>
        <v>0</v>
      </c>
      <c r="F40" s="27">
        <f>COUNTIF($C$10:$N$16, "DRM(B)/PDBE(A)/SMKT(B)")</f>
        <v>0</v>
      </c>
      <c r="G40" s="2"/>
      <c r="H40" s="2"/>
      <c r="I40" s="2"/>
      <c r="J40" s="2"/>
      <c r="K40" s="2"/>
      <c r="L40" s="2"/>
      <c r="M40" s="2"/>
      <c r="N40" s="27">
        <f t="shared" si="2"/>
        <v>4</v>
      </c>
    </row>
    <row r="41" spans="3:14" ht="18" customHeight="1" x14ac:dyDescent="0.35">
      <c r="C41" s="9" t="s">
        <v>104</v>
      </c>
      <c r="D41" s="27">
        <f>COUNTIF($C$10:$N$16, "MC")</f>
        <v>0</v>
      </c>
      <c r="E41" s="27">
        <f>COUNTIF($C$10:$N$16, "PDBE(B)")</f>
        <v>0</v>
      </c>
      <c r="F41" s="27">
        <f>COUNTIF($C$10:$N$16, "PDBE(B)/ML&amp;AI('C)")</f>
        <v>0</v>
      </c>
      <c r="G41" s="2"/>
      <c r="H41" s="2"/>
      <c r="I41" s="2"/>
      <c r="J41" s="2"/>
      <c r="K41" s="2"/>
      <c r="L41" s="2"/>
      <c r="M41" s="2"/>
      <c r="N41" s="27">
        <f t="shared" si="2"/>
        <v>0</v>
      </c>
    </row>
    <row r="42" spans="3:14" ht="18" customHeight="1" x14ac:dyDescent="0.35">
      <c r="C42" s="9" t="s">
        <v>171</v>
      </c>
      <c r="D42" s="27">
        <f>COUNTIF($C$10:$N$16, "M&amp;A(B)/FT(A)/PRM(B)")</f>
        <v>2</v>
      </c>
      <c r="E42" s="27">
        <f>COUNTIF($C$10:$N$16, "AN")</f>
        <v>0</v>
      </c>
      <c r="F42" s="2"/>
      <c r="G42" s="2"/>
      <c r="H42" s="2"/>
      <c r="I42" s="2"/>
      <c r="J42" s="2"/>
      <c r="K42" s="2"/>
      <c r="L42" s="2"/>
      <c r="M42" s="2"/>
      <c r="N42" s="27">
        <f t="shared" si="2"/>
        <v>2</v>
      </c>
    </row>
    <row r="43" spans="3:14" ht="18" customHeight="1" x14ac:dyDescent="0.35">
      <c r="C43" s="9" t="s">
        <v>172</v>
      </c>
      <c r="D43" s="27">
        <f>COUNTIF($C$10:$N$16, "M&amp;A(A)/FT(B)/PRM(A)")</f>
        <v>2</v>
      </c>
      <c r="E43" s="27">
        <f>COUNTIF($C$10:$N$16, "TEOM(A)/SMKT(B)")</f>
        <v>0</v>
      </c>
      <c r="F43" s="27">
        <f>COUNTIF($C$10:$N$16, "VALU(B)/TEOM(A)")</f>
        <v>0</v>
      </c>
      <c r="G43" s="27"/>
      <c r="H43" s="27">
        <f>COUNTIF($C$10:$N$16, "TEOM(A)")</f>
        <v>0</v>
      </c>
      <c r="I43" s="27"/>
      <c r="J43" s="27"/>
      <c r="K43" s="27"/>
      <c r="L43" s="27"/>
      <c r="M43" s="27"/>
      <c r="N43" s="27">
        <f t="shared" si="2"/>
        <v>2</v>
      </c>
    </row>
    <row r="44" spans="3:14" ht="18" customHeight="1" x14ac:dyDescent="0.35">
      <c r="C44" s="26" t="s">
        <v>112</v>
      </c>
      <c r="D44" s="27">
        <f>COUNTIF($C$10:$N$16, "SNA")</f>
        <v>3</v>
      </c>
      <c r="E44" s="27">
        <f>COUNTIF($C$10:$N$16, "VALU(A)/TEOM(B)")</f>
        <v>0</v>
      </c>
      <c r="F44" s="27">
        <f>COUNTIF($C$10:$N$16, "TEOM(B)/VALU(D)")</f>
        <v>0</v>
      </c>
      <c r="G44" s="27"/>
      <c r="H44" s="27">
        <f>COUNTIF($C$10:$N$16, "TEOM(B)")</f>
        <v>0</v>
      </c>
      <c r="I44" s="27"/>
      <c r="J44" s="27"/>
      <c r="K44" s="27"/>
      <c r="L44" s="27"/>
      <c r="M44" s="27"/>
      <c r="N44" s="27">
        <f t="shared" si="2"/>
        <v>3</v>
      </c>
    </row>
    <row r="45" spans="3:14" ht="18" customHeight="1" x14ac:dyDescent="0.35">
      <c r="C45" s="9" t="s">
        <v>118</v>
      </c>
      <c r="D45" s="27">
        <f>COUNTIF($C$10:$N$16, "IGR&amp;MC")</f>
        <v>1</v>
      </c>
      <c r="E45" s="27">
        <f>COUNTIF($C$10:$N$16, "DV&amp;PS(A)/DV&amp;PS(B)")</f>
        <v>0</v>
      </c>
      <c r="F45" s="27"/>
      <c r="G45" s="2"/>
      <c r="H45" s="2"/>
      <c r="I45" s="2"/>
      <c r="J45" s="2"/>
      <c r="K45" s="2"/>
      <c r="L45" s="2"/>
      <c r="M45" s="2"/>
      <c r="N45" s="27">
        <f t="shared" si="2"/>
        <v>1</v>
      </c>
    </row>
    <row r="46" spans="3:14" ht="18" customHeight="1" x14ac:dyDescent="0.35">
      <c r="C46" s="9" t="s">
        <v>173</v>
      </c>
      <c r="D46" s="27">
        <f>COUNTIF($C$10:$N$16, "M&amp;A(A)/FT(B)/PRM(A)")</f>
        <v>2</v>
      </c>
      <c r="E46" s="27">
        <f>COUNTIF($C$10:$N$16, "DV&amp;VS(B)")</f>
        <v>0</v>
      </c>
      <c r="F46" s="27">
        <f>COUNTIF($C$10:$N$16, "DV&amp;PS(A)/DV&amp;PS(B)")</f>
        <v>0</v>
      </c>
      <c r="G46" s="2"/>
      <c r="H46" s="2"/>
      <c r="I46" s="2"/>
      <c r="J46" s="2"/>
      <c r="K46" s="2"/>
      <c r="L46" s="2"/>
      <c r="M46" s="2"/>
      <c r="N46" s="27">
        <f t="shared" si="2"/>
        <v>2</v>
      </c>
    </row>
    <row r="47" spans="3:14" ht="18" customHeight="1" x14ac:dyDescent="0.35">
      <c r="C47" s="9" t="s">
        <v>174</v>
      </c>
      <c r="D47" s="27">
        <f>COUNTIF($C$10:$N$16, "M&amp;A(B)/FT(A)/PRM(B)")</f>
        <v>2</v>
      </c>
      <c r="E47" s="27">
        <f>COUNTIF($C$10:$N$16, "DM(B)/DC(A)")</f>
        <v>0</v>
      </c>
      <c r="F47" s="27">
        <f>COUNTIF($C$10:$N$16, "SCM(A)/DC(A)")</f>
        <v>0</v>
      </c>
      <c r="G47" s="27">
        <f>COUNTIF($C$10:$N$16, "DC(A)/DC(B)")</f>
        <v>0</v>
      </c>
      <c r="H47" s="2"/>
      <c r="I47" s="2"/>
      <c r="J47" s="2"/>
      <c r="K47" s="2"/>
      <c r="L47" s="2"/>
      <c r="M47" s="2"/>
      <c r="N47" s="27">
        <f t="shared" si="2"/>
        <v>2</v>
      </c>
    </row>
    <row r="48" spans="3:14" ht="18" customHeight="1" x14ac:dyDescent="0.35">
      <c r="C48" s="9" t="s">
        <v>175</v>
      </c>
      <c r="D48" s="27">
        <f>COUNTIF($C$10:$N$16, "IL(A)/D&amp;IT")</f>
        <v>2</v>
      </c>
      <c r="E48" s="27">
        <f>COUNTIF($C$10:$N$16, "DM(A)/DC(B)")</f>
        <v>0</v>
      </c>
      <c r="F48" s="27">
        <f>COUNTIF($C$10:$N$16, "SCM(B)/DC(B)")</f>
        <v>0</v>
      </c>
      <c r="G48" s="27">
        <f>COUNTIF($C$10:$N$16, "DC(A)/DC(B)")</f>
        <v>0</v>
      </c>
      <c r="H48" s="2"/>
      <c r="I48" s="2"/>
      <c r="J48" s="2"/>
      <c r="K48" s="2"/>
      <c r="L48" s="2"/>
      <c r="M48" s="2"/>
      <c r="N48" s="27">
        <f t="shared" si="2"/>
        <v>2</v>
      </c>
    </row>
    <row r="49" spans="3:14" ht="18" customHeight="1" x14ac:dyDescent="0.35">
      <c r="C49" s="9" t="s">
        <v>176</v>
      </c>
      <c r="D49" s="27">
        <f>COUNTIF($C$10:$N$16, "IL(B)/IM")</f>
        <v>2</v>
      </c>
      <c r="E49" s="27">
        <f>COUNTIF($C$10:$N$16, "ML&amp;AI(A)")</f>
        <v>0</v>
      </c>
      <c r="F49" s="27"/>
      <c r="G49" s="2"/>
      <c r="H49" s="2"/>
      <c r="I49" s="2"/>
      <c r="J49" s="2"/>
      <c r="K49" s="2"/>
      <c r="L49" s="2"/>
      <c r="M49" s="2"/>
      <c r="N49" s="27">
        <f t="shared" si="2"/>
        <v>2</v>
      </c>
    </row>
  </sheetData>
  <mergeCells count="8">
    <mergeCell ref="A1:A2"/>
    <mergeCell ref="B1:B2"/>
    <mergeCell ref="O1:O2"/>
    <mergeCell ref="C12:N12"/>
    <mergeCell ref="S3:AD3"/>
    <mergeCell ref="R1:R2"/>
    <mergeCell ref="Q1:Q2"/>
    <mergeCell ref="C3:N3"/>
  </mergeCells>
  <conditionalFormatting sqref="C3">
    <cfRule type="cellIs" dxfId="11" priority="618" stopIfTrue="1" operator="equal">
      <formula>"French-1"</formula>
    </cfRule>
  </conditionalFormatting>
  <conditionalFormatting sqref="C12:N12">
    <cfRule type="containsText" dxfId="10" priority="3" operator="containsText" text="DRM(B)">
      <formula>NOT(ISERROR(SEARCH("DRM(B)",C12)))</formula>
    </cfRule>
  </conditionalFormatting>
  <conditionalFormatting sqref="S3">
    <cfRule type="cellIs" dxfId="9" priority="87" stopIfTrue="1" operator="equal">
      <formula>"French-1"</formula>
    </cfRule>
  </conditionalFormatting>
  <conditionalFormatting sqref="S15:T15">
    <cfRule type="cellIs" dxfId="8" priority="17" stopIfTrue="1" operator="equal">
      <formula>"French-1"</formula>
    </cfRule>
  </conditionalFormatting>
  <conditionalFormatting sqref="S16:V16">
    <cfRule type="cellIs" dxfId="7" priority="9" stopIfTrue="1" operator="equal">
      <formula>"French-1"</formula>
    </cfRule>
  </conditionalFormatting>
  <conditionalFormatting sqref="U15:U16">
    <cfRule type="cellIs" dxfId="6" priority="8" stopIfTrue="1" operator="equal">
      <formula>"French-1"</formula>
    </cfRule>
  </conditionalFormatting>
  <conditionalFormatting sqref="V15">
    <cfRule type="cellIs" dxfId="5" priority="15" stopIfTrue="1" operator="equal">
      <formula>"French-1"</formula>
    </cfRule>
  </conditionalFormatting>
  <conditionalFormatting sqref="W15:Y16">
    <cfRule type="cellIs" dxfId="4" priority="11" stopIfTrue="1" operator="equal">
      <formula>"French-1"</formula>
    </cfRule>
  </conditionalFormatting>
  <conditionalFormatting sqref="Z10:AC12">
    <cfRule type="cellIs" dxfId="3" priority="39" stopIfTrue="1" operator="equal">
      <formula>"French-1"</formula>
    </cfRule>
  </conditionalFormatting>
  <conditionalFormatting sqref="Z14:AC16">
    <cfRule type="cellIs" dxfId="2" priority="4" stopIfTrue="1" operator="equal">
      <formula>"French-1"</formula>
    </cfRule>
  </conditionalFormatting>
  <conditionalFormatting sqref="C9:G9">
    <cfRule type="containsText" dxfId="1" priority="2" operator="containsText" text="DRM(B)">
      <formula>NOT(ISERROR(SEARCH("DRM(B)",C9)))</formula>
    </cfRule>
  </conditionalFormatting>
  <conditionalFormatting sqref="S9:W9">
    <cfRule type="containsText" dxfId="0" priority="1" operator="containsText" text="DRM(B)">
      <formula>NOT(ISERROR(SEARCH("DRM(B)",S9)))</formula>
    </cfRule>
  </conditionalFormatting>
  <pageMargins left="0.23622047244094491" right="0.19685039370078741" top="1.1023622047244095" bottom="0.27559055118110237" header="0.27559055118110237" footer="0.19685039370078741"/>
  <pageSetup paperSize="9" scale="34" orientation="portrait" r:id="rId1"/>
  <headerFooter alignWithMargins="0">
    <oddHeader>&amp;C&amp;"times,Bold"&amp;17Institute of Management, Nirma University
Master of Business Administration
Batch: 2024 - 2026 (Term - VI)
Daily Class Schedule</oddHeader>
  </headerFooter>
  <rowBreaks count="1" manualBreakCount="1">
    <brk id="49" max="14" man="1"/>
  </rowBreaks>
  <colBreaks count="1" manualBreakCount="1">
    <brk id="14" max="14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Course Detail-Term-VI</vt:lpstr>
      <vt:lpstr>Class Schedule-Term-VI </vt:lpstr>
      <vt:lpstr>'Class Schedule-Term-VI '!Print_Area</vt:lpstr>
      <vt:lpstr>'Course Detail-Term-VI'!Print_Area</vt:lpstr>
      <vt:lpstr>'Class Schedule-Term-VI '!Print_Titles</vt:lpstr>
    </vt:vector>
  </TitlesOfParts>
  <Company>nim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Vishesh Kanoongo</cp:lastModifiedBy>
  <cp:lastPrinted>2026-01-02T06:32:53Z</cp:lastPrinted>
  <dcterms:created xsi:type="dcterms:W3CDTF">2007-05-07T07:18:13Z</dcterms:created>
  <dcterms:modified xsi:type="dcterms:W3CDTF">2026-01-09T08:03:30Z</dcterms:modified>
</cp:coreProperties>
</file>