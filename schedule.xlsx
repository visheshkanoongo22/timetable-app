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rive E back up\JB\Full - Time\2024-26\Schedule\Schedule Term VI\"/>
    </mc:Choice>
  </mc:AlternateContent>
  <xr:revisionPtr revIDLastSave="0" documentId="13_ncr:1_{4BDE4499-4B70-4665-8BB3-7E7E10252022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Course Detail-Term-VI" sheetId="33" r:id="rId1"/>
    <sheet name="Class Schedule-Term-VI " sheetId="36" r:id="rId2"/>
  </sheets>
  <externalReferences>
    <externalReference r:id="rId3"/>
  </externalReferences>
  <definedNames>
    <definedName name="_xlnm._FilterDatabase" localSheetId="1" hidden="1">'Class Schedule-Term-VI '!$A$100:$P$132</definedName>
    <definedName name="_xlnm._FilterDatabase" localSheetId="0" hidden="1">'Course Detail-Term-VI'!$A$1:$HK$20</definedName>
    <definedName name="AA">[1]Range!$C$3:$D$16</definedName>
    <definedName name="FG" localSheetId="1">#REF!</definedName>
    <definedName name="FG" localSheetId="0">#REF!</definedName>
    <definedName name="FG">#REF!</definedName>
    <definedName name="GP" localSheetId="1">#REF!</definedName>
    <definedName name="GP" localSheetId="0">#REF!</definedName>
    <definedName name="GP">#REF!</definedName>
    <definedName name="_xlnm.Print_Area" localSheetId="1">'Class Schedule-Term-VI '!$A$1:$N$132</definedName>
    <definedName name="_xlnm.Print_Area" localSheetId="0">'Course Detail-Term-VI'!$A$1:$J$20</definedName>
    <definedName name="_xlnm.Print_Titles" localSheetId="1">'Class Schedule-Term-VI '!$1:$2</definedName>
    <definedName name="range" localSheetId="1">#REF!</definedName>
    <definedName name="range" localSheetId="0">#REF!</definedName>
    <definedName name="rang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32" i="36" l="1"/>
  <c r="D131" i="36"/>
  <c r="D128" i="36"/>
  <c r="D127" i="36"/>
  <c r="D124" i="36"/>
  <c r="D123" i="36"/>
  <c r="D120" i="36"/>
  <c r="D118" i="36"/>
  <c r="D119" i="36"/>
  <c r="D117" i="36"/>
  <c r="D116" i="36"/>
  <c r="D115" i="36"/>
  <c r="D114" i="36"/>
  <c r="D113" i="36"/>
  <c r="N113" i="36" s="1"/>
  <c r="D112" i="36"/>
  <c r="N112" i="36" s="1"/>
  <c r="D111" i="36"/>
  <c r="D108" i="36"/>
  <c r="D130" i="36"/>
  <c r="D125" i="36"/>
  <c r="D107" i="36"/>
  <c r="D129" i="36"/>
  <c r="D126" i="36"/>
  <c r="D106" i="36"/>
  <c r="D121" i="36"/>
  <c r="D109" i="36"/>
  <c r="D105" i="36"/>
  <c r="D122" i="36"/>
  <c r="D110" i="36"/>
  <c r="D104" i="36"/>
  <c r="D103" i="36"/>
  <c r="E103" i="36"/>
  <c r="F103" i="36"/>
  <c r="H103" i="36"/>
  <c r="E104" i="36"/>
  <c r="F104" i="36"/>
  <c r="G104" i="36"/>
  <c r="H104" i="36"/>
  <c r="E105" i="36"/>
  <c r="F105" i="36"/>
  <c r="H105" i="36"/>
  <c r="E106" i="36"/>
  <c r="F106" i="36"/>
  <c r="H106" i="36"/>
  <c r="E107" i="36"/>
  <c r="F107" i="36"/>
  <c r="G107" i="36"/>
  <c r="E108" i="36"/>
  <c r="E109" i="36"/>
  <c r="E110" i="36"/>
  <c r="F110" i="36"/>
  <c r="E111" i="36"/>
  <c r="F111" i="36"/>
  <c r="E114" i="36"/>
  <c r="F114" i="36"/>
  <c r="E115" i="36"/>
  <c r="F115" i="36"/>
  <c r="E116" i="36"/>
  <c r="F116" i="36"/>
  <c r="E117" i="36"/>
  <c r="G117" i="36"/>
  <c r="H117" i="36"/>
  <c r="E118" i="36"/>
  <c r="E119" i="36"/>
  <c r="F119" i="36"/>
  <c r="G119" i="36"/>
  <c r="H119" i="36"/>
  <c r="E120" i="36"/>
  <c r="F120" i="36"/>
  <c r="G120" i="36"/>
  <c r="H120" i="36"/>
  <c r="E121" i="36"/>
  <c r="F121" i="36"/>
  <c r="E122" i="36"/>
  <c r="F122" i="36"/>
  <c r="E123" i="36"/>
  <c r="F123" i="36"/>
  <c r="E124" i="36"/>
  <c r="F124" i="36"/>
  <c r="E125" i="36"/>
  <c r="E126" i="36"/>
  <c r="F126" i="36"/>
  <c r="H126" i="36"/>
  <c r="E127" i="36"/>
  <c r="F127" i="36"/>
  <c r="H127" i="36"/>
  <c r="E128" i="36"/>
  <c r="E129" i="36"/>
  <c r="F129" i="36"/>
  <c r="E130" i="36"/>
  <c r="F130" i="36"/>
  <c r="G130" i="36"/>
  <c r="E131" i="36"/>
  <c r="F131" i="36"/>
  <c r="G131" i="36"/>
  <c r="E132" i="36"/>
  <c r="N110" i="36" l="1"/>
  <c r="N128" i="36"/>
  <c r="N118" i="36"/>
  <c r="N125" i="36"/>
  <c r="N106" i="36"/>
  <c r="N114" i="36"/>
  <c r="N123" i="36"/>
  <c r="N119" i="36"/>
  <c r="N132" i="36"/>
  <c r="N103" i="36"/>
  <c r="N109" i="36"/>
  <c r="N104" i="36"/>
  <c r="N116" i="36"/>
  <c r="N129" i="36"/>
  <c r="N108" i="36"/>
  <c r="N122" i="36"/>
  <c r="N115" i="36"/>
  <c r="N127" i="36"/>
  <c r="N124" i="36"/>
  <c r="N130" i="36"/>
  <c r="N111" i="36"/>
  <c r="N121" i="36"/>
  <c r="N126" i="36"/>
  <c r="N117" i="36"/>
  <c r="N105" i="36"/>
  <c r="N107" i="36"/>
  <c r="N120" i="36"/>
  <c r="N131" i="36"/>
  <c r="R99" i="36" l="1"/>
  <c r="R98" i="36"/>
  <c r="R97" i="36"/>
  <c r="R96" i="36"/>
  <c r="R95" i="36"/>
  <c r="R94" i="36"/>
  <c r="R93" i="36"/>
  <c r="R92" i="36"/>
  <c r="R91" i="36"/>
  <c r="R90" i="36"/>
  <c r="R89" i="36"/>
  <c r="R88" i="36"/>
  <c r="R87" i="36"/>
  <c r="R86" i="36"/>
  <c r="R85" i="36"/>
  <c r="R84" i="36"/>
  <c r="R83" i="36"/>
  <c r="R82" i="36"/>
  <c r="R81" i="36"/>
  <c r="R80" i="36"/>
  <c r="R79" i="36"/>
  <c r="R78" i="36"/>
  <c r="R77" i="36"/>
  <c r="R76" i="36"/>
  <c r="R75" i="36"/>
  <c r="R74" i="36"/>
  <c r="R73" i="36"/>
  <c r="R72" i="36"/>
  <c r="R71" i="36"/>
  <c r="R70" i="36"/>
  <c r="R69" i="36"/>
  <c r="R68" i="36"/>
  <c r="R67" i="36"/>
  <c r="R66" i="36"/>
  <c r="R65" i="36"/>
  <c r="R64" i="36"/>
  <c r="R63" i="36"/>
  <c r="R62" i="36"/>
  <c r="R61" i="36"/>
  <c r="R60" i="36"/>
  <c r="R59" i="36"/>
  <c r="R58" i="36"/>
  <c r="R57" i="36"/>
  <c r="R56" i="36"/>
  <c r="R55" i="36"/>
  <c r="R54" i="36"/>
  <c r="R53" i="36"/>
  <c r="R52" i="36"/>
  <c r="R51" i="36"/>
  <c r="R50" i="36"/>
  <c r="R49" i="36"/>
  <c r="R48" i="36"/>
  <c r="R47" i="36"/>
  <c r="R46" i="36"/>
  <c r="R45" i="36"/>
  <c r="R44" i="36"/>
  <c r="R43" i="36"/>
  <c r="R42" i="36"/>
  <c r="R41" i="36"/>
  <c r="R40" i="36"/>
  <c r="R39" i="36"/>
  <c r="R38" i="36"/>
  <c r="R37" i="36"/>
  <c r="R36" i="36"/>
  <c r="R35" i="36"/>
  <c r="R34" i="36"/>
  <c r="R33" i="36"/>
  <c r="R32" i="36"/>
  <c r="R31" i="36"/>
  <c r="R30" i="36"/>
  <c r="R29" i="36"/>
  <c r="R28" i="36"/>
  <c r="R27" i="36"/>
  <c r="R26" i="36"/>
  <c r="R25" i="36"/>
  <c r="R24" i="36"/>
  <c r="R23" i="36"/>
  <c r="R22" i="36"/>
  <c r="R21" i="36"/>
  <c r="R20" i="36"/>
  <c r="R19" i="36"/>
  <c r="R18" i="36"/>
  <c r="R17" i="36"/>
  <c r="R16" i="36"/>
  <c r="R15" i="36"/>
  <c r="R14" i="36"/>
  <c r="R13" i="36"/>
  <c r="R12" i="36"/>
  <c r="R11" i="36"/>
  <c r="R10" i="36"/>
  <c r="R9" i="36"/>
  <c r="R8" i="36"/>
  <c r="R7" i="36"/>
  <c r="R6" i="36"/>
  <c r="R5" i="36"/>
  <c r="R4" i="36"/>
  <c r="B95" i="36" l="1"/>
  <c r="B96" i="36"/>
  <c r="B97" i="36"/>
  <c r="B98" i="36"/>
  <c r="B99" i="36"/>
  <c r="B94" i="36"/>
  <c r="B93" i="36"/>
  <c r="B92" i="36"/>
  <c r="B91" i="36"/>
  <c r="B90" i="36"/>
  <c r="B89" i="36"/>
  <c r="B88" i="36"/>
  <c r="B87" i="36"/>
  <c r="B86" i="36"/>
  <c r="B85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F20" i="33" l="1"/>
</calcChain>
</file>

<file path=xl/sharedStrings.xml><?xml version="1.0" encoding="utf-8"?>
<sst xmlns="http://schemas.openxmlformats.org/spreadsheetml/2006/main" count="348" uniqueCount="200">
  <si>
    <t>Session-I</t>
  </si>
  <si>
    <t>Session-II</t>
  </si>
  <si>
    <t>Session-III</t>
  </si>
  <si>
    <t>Session-IV</t>
  </si>
  <si>
    <t>Session-V</t>
  </si>
  <si>
    <t>Date</t>
  </si>
  <si>
    <t>Day</t>
  </si>
  <si>
    <t>Session-VI</t>
  </si>
  <si>
    <t>Session-VII</t>
  </si>
  <si>
    <t>Session-VIII</t>
  </si>
  <si>
    <t>End Term Examination</t>
  </si>
  <si>
    <t>Sl. No.</t>
  </si>
  <si>
    <t>Course
Code</t>
  </si>
  <si>
    <t>Abbre.</t>
  </si>
  <si>
    <t>Name of the Course</t>
  </si>
  <si>
    <t>Area</t>
  </si>
  <si>
    <t>Credit
Hours</t>
  </si>
  <si>
    <t>Name of the Faculty</t>
  </si>
  <si>
    <t>Class
Room</t>
  </si>
  <si>
    <t>Eco. &amp; Fin.</t>
  </si>
  <si>
    <t>Marketing</t>
  </si>
  <si>
    <t>Total Credit</t>
  </si>
  <si>
    <t>Session-IX</t>
  </si>
  <si>
    <t>Alumni Day</t>
  </si>
  <si>
    <t>05.00PM to 
06.00PM</t>
  </si>
  <si>
    <t>Session-X</t>
  </si>
  <si>
    <t>Session-XI</t>
  </si>
  <si>
    <t>DnA</t>
  </si>
  <si>
    <t>08.30PM to 
09.30PM</t>
  </si>
  <si>
    <t>Session-IV-A</t>
  </si>
  <si>
    <t>Prof. Nitin Pillai</t>
  </si>
  <si>
    <t>D&amp;IT</t>
  </si>
  <si>
    <t>Faculty Email id</t>
  </si>
  <si>
    <t>Course coordinator</t>
  </si>
  <si>
    <t>Prof. Dipti Saraf</t>
  </si>
  <si>
    <t>Prof. Somayya Madakam</t>
  </si>
  <si>
    <t>nitin.pillai@nirmauni.ac.in</t>
  </si>
  <si>
    <t>Prof. Omakar Sahoo</t>
  </si>
  <si>
    <t>Prof. Praneti Shah</t>
  </si>
  <si>
    <t>somayya.madakam@nirmauni.ac.in</t>
  </si>
  <si>
    <t>Prof. Omakar Sahoo (Div. A&amp;B)</t>
  </si>
  <si>
    <t>08.00AM to
09.00AM</t>
  </si>
  <si>
    <t>09.10AM to 
10.10AM</t>
  </si>
  <si>
    <t>10.20AM to 
11.20PM</t>
  </si>
  <si>
    <t>11.30AM to 
12.30PM</t>
  </si>
  <si>
    <t>1.30PM to
02.30PM</t>
  </si>
  <si>
    <t>02.40PM to
03.40PM</t>
  </si>
  <si>
    <t>03.50PM to 
04.50PM</t>
  </si>
  <si>
    <t>06.10PM to 
07.10PM</t>
  </si>
  <si>
    <t>07.20PM to 
08.20PM</t>
  </si>
  <si>
    <t>12:30PM to 01:30PM</t>
  </si>
  <si>
    <t>Commencement of Classes - Term-VI (January 05, 2026)</t>
  </si>
  <si>
    <t>Prof. Lalit Arora</t>
  </si>
  <si>
    <t>7MP104SE22</t>
  </si>
  <si>
    <t>Direct &amp; Indirect Taxes</t>
  </si>
  <si>
    <t>7MP116SE22</t>
  </si>
  <si>
    <t>IF</t>
  </si>
  <si>
    <t>International Finance</t>
  </si>
  <si>
    <t>Fin &amp; Accounting</t>
  </si>
  <si>
    <t>Prof. Parag Rijwnai Div. A &amp; B)</t>
  </si>
  <si>
    <t>parag@nirmauni.ac.in</t>
  </si>
  <si>
    <t>7MP122SE22</t>
  </si>
  <si>
    <t>PPC</t>
  </si>
  <si>
    <t>Project Planning and Control* IMBA</t>
  </si>
  <si>
    <t>ritesh@nirmauni.ac.in,</t>
  </si>
  <si>
    <t>7MP124SE22</t>
  </si>
  <si>
    <t>Mergers and Acquisitions</t>
  </si>
  <si>
    <t>M&amp;A</t>
  </si>
  <si>
    <t>Prof. Ritesh Patel (Div. A,B &amp; C)</t>
  </si>
  <si>
    <t>Prof. Dipti Saraf (Div. A,B &amp; C)</t>
  </si>
  <si>
    <t>7MP328SE24</t>
  </si>
  <si>
    <t>MA</t>
  </si>
  <si>
    <t>Marketing Analytics</t>
  </si>
  <si>
    <t>jayeshaagja@nirmauni.ac.in,
sanjayjain@nirmauni.ac.in</t>
  </si>
  <si>
    <t>Prof. Ritesh Patel</t>
  </si>
  <si>
    <t>Prof. Jayesh Aagja</t>
  </si>
  <si>
    <t>7MP306SE22</t>
  </si>
  <si>
    <t>CRM</t>
  </si>
  <si>
    <t>Customer Relationship Management</t>
  </si>
  <si>
    <t>7MP321SE22</t>
  </si>
  <si>
    <t>RUR.MKT</t>
  </si>
  <si>
    <t>Rural Marketing* IMBA</t>
  </si>
  <si>
    <t>sapna@nirmauni.ac.in,
shailesh.prabhu@nirmauni.ac.in,
kavita.saxena_vf@nirmauni.ac.in</t>
  </si>
  <si>
    <t>7MP314SE22</t>
  </si>
  <si>
    <t>IM</t>
  </si>
  <si>
    <t>International Marketing</t>
  </si>
  <si>
    <t>Prof. Pradeep Kautish</t>
  </si>
  <si>
    <t>pradeep.kautish@nirmauni.ac.in</t>
  </si>
  <si>
    <t>7MP317SE22</t>
  </si>
  <si>
    <t>MS</t>
  </si>
  <si>
    <t>Marketing Simulation</t>
  </si>
  <si>
    <t>Prof. Ashwini Awasthi(Div A &amp; B)
Prof. Jayesh Aagja (Div. C)
Prof. Sanjay Jain (Div. D)</t>
  </si>
  <si>
    <t>awasthiak@nirmauni.ac.in,
jayeshaagja@nirmauni.ac.in,
sanjayjain@nirmauni.ac.in</t>
  </si>
  <si>
    <t>7MP404NE22</t>
  </si>
  <si>
    <t>GBL</t>
  </si>
  <si>
    <t>Global Business Leadership*IMBa</t>
  </si>
  <si>
    <t>HRM</t>
  </si>
  <si>
    <t>7MP503NE22</t>
  </si>
  <si>
    <t>DIW</t>
  </si>
  <si>
    <t>Diversity and Inclusion at Workplace</t>
  </si>
  <si>
    <t>OB &amp; Communication</t>
  </si>
  <si>
    <t>7MP510NE22</t>
  </si>
  <si>
    <t>PS&amp;PS</t>
  </si>
  <si>
    <t>Public Speaking and Presentation Skills</t>
  </si>
  <si>
    <t>7MP812NE22</t>
  </si>
  <si>
    <t>MC</t>
  </si>
  <si>
    <t>GM</t>
  </si>
  <si>
    <t>Management Consulting* IMBA</t>
  </si>
  <si>
    <t>7MP711SE22</t>
  </si>
  <si>
    <t>FT</t>
  </si>
  <si>
    <t>Financial Technologies</t>
  </si>
  <si>
    <t>omkar.sahoo@nirmauni.ac.in,</t>
  </si>
  <si>
    <t>7MP718SE22</t>
  </si>
  <si>
    <t>SNA</t>
  </si>
  <si>
    <t>Social Network Analysis* IMBA</t>
  </si>
  <si>
    <t>DnA/OM</t>
  </si>
  <si>
    <t>Prof. Anand Kumar</t>
  </si>
  <si>
    <t>anand.kumar@nirmauni.ac.in</t>
  </si>
  <si>
    <t>7MP713SE22</t>
  </si>
  <si>
    <t>IGR&amp;MC</t>
  </si>
  <si>
    <t>InfoSec for Governance, Risk Management and Compliance</t>
  </si>
  <si>
    <t>7MP211SE22</t>
  </si>
  <si>
    <t>PRM</t>
  </si>
  <si>
    <t>Project Management* IMBA</t>
  </si>
  <si>
    <t>Prof. Chetan Jhaveri</t>
  </si>
  <si>
    <t>chetan@nirmauni.ac.in</t>
  </si>
  <si>
    <t>7MP807SE22</t>
  </si>
  <si>
    <t>IL</t>
  </si>
  <si>
    <t>International Logistics*IMBA</t>
  </si>
  <si>
    <t>OM&amp;DS</t>
  </si>
  <si>
    <t>Praneti@nirmauni.ac.in</t>
  </si>
  <si>
    <t>IF(A)/PPC(B)/DIW</t>
  </si>
  <si>
    <t>IF(B)/PPC(A)/GBL</t>
  </si>
  <si>
    <t>M&amp;A(A)/FT(B)/PRM(A)</t>
  </si>
  <si>
    <t>M&amp;A(B)/FT(A)/PRM(B)</t>
  </si>
  <si>
    <t>M&amp;A('C)/MA</t>
  </si>
  <si>
    <t>IL(A)/D&amp;IT</t>
  </si>
  <si>
    <t>IL(B)/IM</t>
  </si>
  <si>
    <t>MS(A)/MS('C)</t>
  </si>
  <si>
    <t>MS(B)/MS(D)/PS&amp;PS</t>
  </si>
  <si>
    <t>Break</t>
  </si>
  <si>
    <t>NICOM-2026</t>
  </si>
  <si>
    <t>Makar Sankranti - (Holiday)</t>
  </si>
  <si>
    <t>Republic Day - (Holiday)</t>
  </si>
  <si>
    <t>Maha Shivratri - (Holiday)</t>
  </si>
  <si>
    <t>Holi 2nd Day - (Holiday)</t>
  </si>
  <si>
    <t>Richter Prespective 10</t>
  </si>
  <si>
    <t>Ramzan Eid - (Holiday)</t>
  </si>
  <si>
    <t>Ram Navami - (Holiday)</t>
  </si>
  <si>
    <t>Mahavir Jayanti - (Holiday)</t>
  </si>
  <si>
    <t>Prof. Dhaval Patanvadia (VF)</t>
  </si>
  <si>
    <t xml:space="preserve">Prof. Jayesh Aagja
Prof. Sanjay Jain </t>
  </si>
  <si>
    <t>RURMKT(A)</t>
  </si>
  <si>
    <t>Prof. T. S. Joshi</t>
  </si>
  <si>
    <t>Prof. Sadhana Sargam</t>
  </si>
  <si>
    <t>Prof. Shilpa Tanna</t>
  </si>
  <si>
    <t>PPC('C)/RURMKT(B)</t>
  </si>
  <si>
    <t>Prof. Sapna Parshar (Div. A &amp;B)
Prof. Shailesh Prabhu N. (Div. A)
Prof. Kavita Saxena (VF) (Div. B)</t>
  </si>
  <si>
    <t>M&amp;A('C)/MA/IL(A)</t>
  </si>
  <si>
    <t>IL(B)/IM/MS(B)/MS(D)/PS&amp;PS</t>
  </si>
  <si>
    <t>IF(A)/DIW</t>
  </si>
  <si>
    <t>PPC(B)</t>
  </si>
  <si>
    <t>RURMKT(A)/SNA</t>
  </si>
  <si>
    <t>PPC(B)/MS(A)/MS('C)</t>
  </si>
  <si>
    <t>IGR&amp;MC/MS(A)/MS('C)</t>
  </si>
  <si>
    <t>dr.patanvadia@gmail.com, dhaval.patanvadia_vf@nirmauni.ac.in</t>
  </si>
  <si>
    <t>Prof. Harsh Pratap Singh</t>
  </si>
  <si>
    <t>Prof. Shilesh Prabhu N</t>
  </si>
  <si>
    <t>tambram1234@gami.com,
tripura.joshi_vf@nirmauni.ac.in</t>
  </si>
  <si>
    <t>IF(A)</t>
  </si>
  <si>
    <t>IF(B)</t>
  </si>
  <si>
    <t>M&amp;A(A)</t>
  </si>
  <si>
    <t>M&amp;A(B)</t>
  </si>
  <si>
    <t>M&amp;A(C)</t>
  </si>
  <si>
    <t>PPC(A)</t>
  </si>
  <si>
    <t>PPC(C)</t>
  </si>
  <si>
    <t>RURMKT(B)</t>
  </si>
  <si>
    <t>MS(A)</t>
  </si>
  <si>
    <t>MS(B)</t>
  </si>
  <si>
    <t>MS('C)</t>
  </si>
  <si>
    <t>MS(D)</t>
  </si>
  <si>
    <t>FT(A)</t>
  </si>
  <si>
    <t>FT(B)</t>
  </si>
  <si>
    <t>PRM(A)</t>
  </si>
  <si>
    <t>PRM(B)</t>
  </si>
  <si>
    <t>IL(A)</t>
  </si>
  <si>
    <t>IL(B)</t>
  </si>
  <si>
    <t>VF</t>
  </si>
  <si>
    <t>T6</t>
  </si>
  <si>
    <t>T5</t>
  </si>
  <si>
    <t>T6
T5
T5</t>
  </si>
  <si>
    <t>T3</t>
  </si>
  <si>
    <t>T7</t>
  </si>
  <si>
    <t>shilpa.tanna@nirmauni.ac.in</t>
  </si>
  <si>
    <t>Prof. Nidhi Bansal</t>
  </si>
  <si>
    <t>sadhna.sargam@nirmauni.ac.in</t>
  </si>
  <si>
    <t>Prof. Sanjay Jain</t>
  </si>
  <si>
    <t>dipti.saraf@nirmauni.ac.in</t>
  </si>
  <si>
    <t>IF(A)/PPC(B)</t>
  </si>
  <si>
    <t>E3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</si>
</sst>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sz val="10"/>
      <name val="Arial"/>
      <family val="2"/>
    </font>
    <font>
      <sz val="12"/>
      <name val="Calibri"/>
      <family val="2"/>
    </font>
    <font>
      <b/>
      <sz val="11"/>
      <name val="Calibri"/>
      <family val="2"/>
    </font>
    <font>
      <sz val="10"/>
      <color rgb="FF000000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u/>
      <sz val="10"/>
      <color theme="10"/>
      <name val="Arial"/>
      <family val="2"/>
    </font>
    <font>
      <b/>
      <sz val="11"/>
      <name val="Century Schoolbook"/>
      <family val="1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2">
    <xf numFmtId="0" fontId="0" fillId="0" borderId="0"/>
    <xf numFmtId="0" fontId="6" fillId="0" borderId="0"/>
    <xf numFmtId="0" fontId="5" fillId="0" borderId="0"/>
    <xf numFmtId="0" fontId="5" fillId="0" borderId="0"/>
    <xf numFmtId="0" fontId="9" fillId="0" borderId="0"/>
    <xf numFmtId="0" fontId="14" fillId="0" borderId="0">
      <alignment vertical="center"/>
    </xf>
    <xf numFmtId="0" fontId="15" fillId="0" borderId="0"/>
    <xf numFmtId="0" fontId="2" fillId="0" borderId="0"/>
    <xf numFmtId="0" fontId="17" fillId="0" borderId="0"/>
    <xf numFmtId="0" fontId="18" fillId="0" borderId="0" applyNumberFormat="0" applyFill="0" applyBorder="0" applyAlignment="0" applyProtection="0"/>
    <xf numFmtId="0" fontId="1" fillId="0" borderId="0"/>
    <xf numFmtId="0" fontId="9" fillId="0" borderId="0"/>
  </cellStyleXfs>
  <cellXfs count="70">
    <xf numFmtId="0" fontId="0" fillId="0" borderId="0" xfId="0"/>
    <xf numFmtId="0" fontId="3" fillId="3" borderId="0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5" fontId="11" fillId="3" borderId="1" xfId="0" quotePrefix="1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 wrapText="1"/>
    </xf>
    <xf numFmtId="0" fontId="11" fillId="3" borderId="1" xfId="3" applyFont="1" applyFill="1" applyBorder="1" applyAlignment="1">
      <alignment horizontal="center" vertical="center" wrapText="1"/>
    </xf>
    <xf numFmtId="0" fontId="11" fillId="4" borderId="1" xfId="3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/>
    </xf>
    <xf numFmtId="0" fontId="3" fillId="3" borderId="0" xfId="0" applyFont="1" applyFill="1" applyAlignment="1">
      <alignment vertical="center"/>
    </xf>
    <xf numFmtId="0" fontId="7" fillId="3" borderId="1" xfId="3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13" fillId="3" borderId="1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4" fillId="3" borderId="0" xfId="0" applyFont="1" applyFill="1" applyBorder="1" applyAlignment="1">
      <alignment horizontal="left" vertical="center"/>
    </xf>
    <xf numFmtId="0" fontId="3" fillId="3" borderId="0" xfId="0" applyFont="1" applyFill="1" applyBorder="1" applyAlignment="1">
      <alignment horizontal="left" vertical="center"/>
    </xf>
    <xf numFmtId="164" fontId="7" fillId="3" borderId="1" xfId="0" applyNumberFormat="1" applyFont="1" applyFill="1" applyBorder="1" applyAlignment="1">
      <alignment horizontal="center" vertical="center" wrapText="1"/>
    </xf>
    <xf numFmtId="0" fontId="3" fillId="3" borderId="0" xfId="0" applyFont="1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11" fillId="3" borderId="10" xfId="0" applyFont="1" applyFill="1" applyBorder="1" applyAlignment="1">
      <alignment horizontal="center" vertical="center"/>
    </xf>
    <xf numFmtId="0" fontId="12" fillId="3" borderId="0" xfId="3" applyFont="1" applyFill="1" applyBorder="1" applyAlignment="1">
      <alignment vertical="center" wrapText="1"/>
    </xf>
    <xf numFmtId="0" fontId="7" fillId="3" borderId="12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16" fillId="0" borderId="1" xfId="4" applyFont="1" applyBorder="1" applyAlignment="1">
      <alignment vertical="center" wrapText="1"/>
    </xf>
    <xf numFmtId="0" fontId="4" fillId="3" borderId="0" xfId="0" applyFont="1" applyFill="1" applyBorder="1" applyAlignment="1">
      <alignment horizontal="center" vertical="center" wrapText="1"/>
    </xf>
    <xf numFmtId="0" fontId="12" fillId="3" borderId="1" xfId="3" applyFont="1" applyFill="1" applyBorder="1" applyAlignment="1">
      <alignment horizontal="center" vertical="center" wrapText="1"/>
    </xf>
    <xf numFmtId="0" fontId="7" fillId="3" borderId="1" xfId="3" applyFont="1" applyFill="1" applyBorder="1" applyAlignment="1">
      <alignment vertical="center" wrapText="1"/>
    </xf>
    <xf numFmtId="164" fontId="7" fillId="3" borderId="1" xfId="3" applyNumberFormat="1" applyFont="1" applyFill="1" applyBorder="1" applyAlignment="1">
      <alignment horizontal="center" vertical="center" wrapText="1"/>
    </xf>
    <xf numFmtId="0" fontId="7" fillId="3" borderId="1" xfId="3" applyFont="1" applyFill="1" applyBorder="1" applyAlignment="1">
      <alignment horizontal="left" vertical="center" wrapText="1"/>
    </xf>
    <xf numFmtId="0" fontId="11" fillId="3" borderId="15" xfId="3" applyFont="1" applyFill="1" applyBorder="1" applyAlignment="1">
      <alignment horizontal="center" vertical="center" wrapText="1"/>
    </xf>
    <xf numFmtId="0" fontId="12" fillId="2" borderId="16" xfId="3" applyFont="1" applyFill="1" applyBorder="1" applyAlignment="1">
      <alignment horizontal="center" vertical="center"/>
    </xf>
    <xf numFmtId="0" fontId="12" fillId="3" borderId="6" xfId="3" applyFont="1" applyFill="1" applyBorder="1" applyAlignment="1">
      <alignment vertical="center" wrapText="1"/>
    </xf>
    <xf numFmtId="0" fontId="12" fillId="3" borderId="2" xfId="3" applyFont="1" applyFill="1" applyBorder="1" applyAlignment="1">
      <alignment vertical="center" wrapText="1"/>
    </xf>
    <xf numFmtId="0" fontId="18" fillId="3" borderId="1" xfId="9" applyFill="1" applyBorder="1" applyAlignment="1">
      <alignment horizontal="center" vertical="center" wrapText="1"/>
    </xf>
    <xf numFmtId="0" fontId="11" fillId="3" borderId="10" xfId="3" applyFont="1" applyFill="1" applyBorder="1" applyAlignment="1">
      <alignment horizontal="center" vertical="center" wrapText="1"/>
    </xf>
    <xf numFmtId="0" fontId="4" fillId="2" borderId="1" xfId="3" applyFont="1" applyFill="1" applyBorder="1" applyAlignment="1">
      <alignment vertical="center"/>
    </xf>
    <xf numFmtId="0" fontId="8" fillId="0" borderId="17" xfId="3" applyFont="1" applyBorder="1" applyAlignment="1">
      <alignment horizontal="center" vertical="center" wrapText="1"/>
    </xf>
    <xf numFmtId="0" fontId="12" fillId="3" borderId="9" xfId="3" applyFont="1" applyFill="1" applyBorder="1" applyAlignment="1">
      <alignment vertical="center" wrapText="1"/>
    </xf>
    <xf numFmtId="0" fontId="12" fillId="3" borderId="3" xfId="3" applyFont="1" applyFill="1" applyBorder="1" applyAlignment="1">
      <alignment vertical="center" wrapText="1"/>
    </xf>
    <xf numFmtId="0" fontId="12" fillId="3" borderId="5" xfId="3" applyFont="1" applyFill="1" applyBorder="1" applyAlignment="1">
      <alignment vertical="center" wrapText="1"/>
    </xf>
    <xf numFmtId="0" fontId="12" fillId="3" borderId="4" xfId="3" applyFont="1" applyFill="1" applyBorder="1" applyAlignment="1">
      <alignment vertical="center" wrapText="1"/>
    </xf>
    <xf numFmtId="0" fontId="19" fillId="0" borderId="0" xfId="0" applyFont="1" applyAlignment="1">
      <alignment wrapText="1"/>
    </xf>
    <xf numFmtId="0" fontId="12" fillId="3" borderId="5" xfId="3" applyFont="1" applyFill="1" applyBorder="1" applyAlignment="1">
      <alignment horizontal="center" vertical="center" wrapText="1"/>
    </xf>
    <xf numFmtId="0" fontId="12" fillId="3" borderId="4" xfId="3" applyFont="1" applyFill="1" applyBorder="1" applyAlignment="1">
      <alignment horizontal="center" vertical="center" wrapText="1"/>
    </xf>
    <xf numFmtId="0" fontId="12" fillId="3" borderId="6" xfId="3" applyFont="1" applyFill="1" applyBorder="1" applyAlignment="1">
      <alignment horizontal="center" vertical="center" wrapText="1"/>
    </xf>
    <xf numFmtId="0" fontId="12" fillId="3" borderId="7" xfId="3" applyFont="1" applyFill="1" applyBorder="1" applyAlignment="1">
      <alignment horizontal="center" vertical="center" wrapText="1"/>
    </xf>
    <xf numFmtId="0" fontId="12" fillId="3" borderId="0" xfId="3" applyFont="1" applyFill="1" applyBorder="1" applyAlignment="1">
      <alignment horizontal="center" vertical="center" wrapText="1"/>
    </xf>
    <xf numFmtId="0" fontId="12" fillId="3" borderId="8" xfId="3" applyFont="1" applyFill="1" applyBorder="1" applyAlignment="1">
      <alignment horizontal="center" vertical="center" wrapText="1"/>
    </xf>
    <xf numFmtId="0" fontId="12" fillId="3" borderId="9" xfId="3" applyFont="1" applyFill="1" applyBorder="1" applyAlignment="1">
      <alignment horizontal="center" vertical="center" wrapText="1"/>
    </xf>
    <xf numFmtId="0" fontId="12" fillId="3" borderId="3" xfId="3" applyFont="1" applyFill="1" applyBorder="1" applyAlignment="1">
      <alignment horizontal="center" vertical="center" wrapText="1"/>
    </xf>
    <xf numFmtId="0" fontId="12" fillId="3" borderId="2" xfId="3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/>
    </xf>
    <xf numFmtId="0" fontId="12" fillId="3" borderId="12" xfId="0" applyFont="1" applyFill="1" applyBorder="1" applyAlignment="1">
      <alignment horizontal="center" vertical="center"/>
    </xf>
    <xf numFmtId="0" fontId="12" fillId="3" borderId="10" xfId="3" applyFont="1" applyFill="1" applyBorder="1" applyAlignment="1">
      <alignment horizontal="center" vertical="center" wrapText="1"/>
    </xf>
    <xf numFmtId="0" fontId="12" fillId="3" borderId="13" xfId="3" applyFont="1" applyFill="1" applyBorder="1" applyAlignment="1">
      <alignment horizontal="center" vertical="center" wrapText="1"/>
    </xf>
    <xf numFmtId="0" fontId="12" fillId="3" borderId="14" xfId="3" applyFont="1" applyFill="1" applyBorder="1" applyAlignment="1">
      <alignment horizontal="center" vertical="center" wrapText="1"/>
    </xf>
    <xf numFmtId="0" fontId="10" fillId="3" borderId="11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</cellXfs>
  <cellStyles count="12">
    <cellStyle name="Hyperlink" xfId="9" builtinId="8"/>
    <cellStyle name="Normal" xfId="0" builtinId="0"/>
    <cellStyle name="Normal 2" xfId="1" xr:uid="{00000000-0005-0000-0000-000001000000}"/>
    <cellStyle name="Normal 2 2" xfId="3" xr:uid="{00000000-0005-0000-0000-000002000000}"/>
    <cellStyle name="Normal 2 2 2" xfId="10" xr:uid="{BE04DA38-2FFB-474A-8CB8-3F1619B91593}"/>
    <cellStyle name="Normal 2_Class Schedule-Term-I" xfId="2" xr:uid="{00000000-0005-0000-0000-000003000000}"/>
    <cellStyle name="Normal 3" xfId="4" xr:uid="{00000000-0005-0000-0000-000004000000}"/>
    <cellStyle name="Normal 3 2" xfId="11" xr:uid="{37DED1AE-3BB4-4AD9-B1E5-EEEF5620CA10}"/>
    <cellStyle name="Normal 4" xfId="5" xr:uid="{00000000-0005-0000-0000-000005000000}"/>
    <cellStyle name="Normal 5" xfId="6" xr:uid="{00000000-0005-0000-0000-000006000000}"/>
    <cellStyle name="Normal 6" xfId="7" xr:uid="{00000000-0005-0000-0000-000007000000}"/>
    <cellStyle name="Normal 7" xfId="8" xr:uid="{679AB6A7-789D-4E96-A2A7-8DE86512F235}"/>
  </cellStyles>
  <dxfs count="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5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53"/>
        </patternFill>
      </fill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paadmin\C\WINDOWS\Temporary%20Internet%20Files\Content.IE5\C967KH6Z\Data\Grade%20(FT)%20(FB)%20(PT)\Graduate%20Batch\FT\2006-08%20(FT)\Term%20-%20IV\Final%20Grade\SPM%20%20-%20Final%20Grade%20(FT)%20(06-08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nge"/>
      <sheetName val="Final Grade"/>
    </sheetNames>
    <sheetDataSet>
      <sheetData sheetId="0">
        <row r="3">
          <cell r="C3">
            <v>0</v>
          </cell>
          <cell r="D3">
            <v>0</v>
          </cell>
        </row>
        <row r="4">
          <cell r="C4" t="str">
            <v>F</v>
          </cell>
          <cell r="D4">
            <v>0</v>
          </cell>
        </row>
        <row r="5">
          <cell r="C5" t="str">
            <v>D-</v>
          </cell>
          <cell r="D5">
            <v>0.66700000000000004</v>
          </cell>
        </row>
        <row r="6">
          <cell r="C6" t="str">
            <v>D</v>
          </cell>
          <cell r="D6">
            <v>1</v>
          </cell>
        </row>
        <row r="7">
          <cell r="C7" t="str">
            <v>D+</v>
          </cell>
          <cell r="D7">
            <v>1.333</v>
          </cell>
        </row>
        <row r="8">
          <cell r="C8" t="str">
            <v>C-</v>
          </cell>
          <cell r="D8">
            <v>1.667</v>
          </cell>
        </row>
        <row r="9">
          <cell r="C9" t="str">
            <v>C</v>
          </cell>
          <cell r="D9">
            <v>2</v>
          </cell>
        </row>
        <row r="10">
          <cell r="C10" t="str">
            <v>C+</v>
          </cell>
          <cell r="D10">
            <v>2.3330000000000002</v>
          </cell>
        </row>
        <row r="11">
          <cell r="C11" t="str">
            <v>B-</v>
          </cell>
          <cell r="D11">
            <v>2.6669999999999998</v>
          </cell>
        </row>
        <row r="12">
          <cell r="C12" t="str">
            <v>B</v>
          </cell>
          <cell r="D12">
            <v>3</v>
          </cell>
        </row>
        <row r="13">
          <cell r="C13" t="str">
            <v>B+</v>
          </cell>
          <cell r="D13">
            <v>3.3330000000000002</v>
          </cell>
        </row>
        <row r="14">
          <cell r="C14" t="str">
            <v>A-</v>
          </cell>
          <cell r="D14">
            <v>3.6669999999999998</v>
          </cell>
        </row>
        <row r="15">
          <cell r="C15" t="str">
            <v>A</v>
          </cell>
          <cell r="D15">
            <v>4</v>
          </cell>
        </row>
        <row r="16">
          <cell r="C16" t="str">
            <v>A+</v>
          </cell>
          <cell r="D16">
            <v>4.3330000000000002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ipti.saraf@nirmauni.ac.in" TargetMode="External"/><Relationship Id="rId3" Type="http://schemas.openxmlformats.org/officeDocument/2006/relationships/hyperlink" Target="mailto:ritesh@nirmauni.ac.in," TargetMode="External"/><Relationship Id="rId7" Type="http://schemas.openxmlformats.org/officeDocument/2006/relationships/hyperlink" Target="mailto:dr.patanvadia@gmail.com" TargetMode="External"/><Relationship Id="rId2" Type="http://schemas.openxmlformats.org/officeDocument/2006/relationships/hyperlink" Target="mailto:ritesh@nirmauni.ac.in," TargetMode="External"/><Relationship Id="rId1" Type="http://schemas.openxmlformats.org/officeDocument/2006/relationships/hyperlink" Target="mailto:parag@nirmauni.ac.in" TargetMode="External"/><Relationship Id="rId6" Type="http://schemas.openxmlformats.org/officeDocument/2006/relationships/hyperlink" Target="mailto:Praneti@nirmauni.ac.in" TargetMode="External"/><Relationship Id="rId5" Type="http://schemas.openxmlformats.org/officeDocument/2006/relationships/hyperlink" Target="mailto:omkar.sahoo@nirmauni.ac.in," TargetMode="External"/><Relationship Id="rId4" Type="http://schemas.openxmlformats.org/officeDocument/2006/relationships/hyperlink" Target="mailto:ritesh@nirmauni.ac.in,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K21"/>
  <sheetViews>
    <sheetView view="pageBreakPreview" topLeftCell="A10" zoomScale="80" zoomScaleNormal="81" zoomScaleSheetLayoutView="80" workbookViewId="0">
      <selection activeCell="C18" sqref="C18"/>
    </sheetView>
  </sheetViews>
  <sheetFormatPr defaultRowHeight="20.100000000000001" customHeight="1" x14ac:dyDescent="0.2"/>
  <cols>
    <col min="1" max="1" width="6.28515625" style="20" customWidth="1"/>
    <col min="2" max="2" width="15.140625" style="20" bestFit="1" customWidth="1"/>
    <col min="3" max="3" width="10.5703125" style="20" customWidth="1"/>
    <col min="4" max="4" width="38" style="14" customWidth="1"/>
    <col min="5" max="5" width="14.42578125" style="14" bestFit="1" customWidth="1"/>
    <col min="6" max="6" width="7.85546875" style="14" customWidth="1"/>
    <col min="7" max="7" width="30.28515625" style="22" customWidth="1"/>
    <col min="8" max="8" width="6.140625" style="20" customWidth="1"/>
    <col min="9" max="9" width="33.5703125" style="20" customWidth="1"/>
    <col min="10" max="10" width="28.7109375" style="20" customWidth="1"/>
    <col min="11" max="16384" width="9.140625" style="14"/>
  </cols>
  <sheetData>
    <row r="1" spans="1:219" ht="25.5" customHeight="1" x14ac:dyDescent="0.2">
      <c r="A1" s="11" t="s">
        <v>11</v>
      </c>
      <c r="B1" s="12" t="s">
        <v>12</v>
      </c>
      <c r="C1" s="11" t="s">
        <v>13</v>
      </c>
      <c r="D1" s="13" t="s">
        <v>14</v>
      </c>
      <c r="E1" s="11" t="s">
        <v>15</v>
      </c>
      <c r="F1" s="12" t="s">
        <v>16</v>
      </c>
      <c r="G1" s="13" t="s">
        <v>17</v>
      </c>
      <c r="H1" s="12" t="s">
        <v>18</v>
      </c>
      <c r="I1" s="33" t="s">
        <v>32</v>
      </c>
      <c r="J1" s="33" t="s">
        <v>33</v>
      </c>
    </row>
    <row r="2" spans="1:219" s="26" customFormat="1" ht="31.5" x14ac:dyDescent="0.2">
      <c r="A2" s="17">
        <v>1</v>
      </c>
      <c r="B2" s="17" t="s">
        <v>53</v>
      </c>
      <c r="C2" s="17" t="s">
        <v>31</v>
      </c>
      <c r="D2" s="16" t="s">
        <v>54</v>
      </c>
      <c r="E2" s="15" t="s">
        <v>58</v>
      </c>
      <c r="F2" s="25">
        <v>3</v>
      </c>
      <c r="G2" s="16" t="s">
        <v>150</v>
      </c>
      <c r="H2" s="17" t="s">
        <v>188</v>
      </c>
      <c r="I2" s="42" t="s">
        <v>165</v>
      </c>
      <c r="J2" s="17" t="s">
        <v>166</v>
      </c>
    </row>
    <row r="3" spans="1:219" s="26" customFormat="1" ht="31.5" x14ac:dyDescent="0.2">
      <c r="A3" s="17">
        <v>2</v>
      </c>
      <c r="B3" s="15" t="s">
        <v>55</v>
      </c>
      <c r="C3" s="15" t="s">
        <v>56</v>
      </c>
      <c r="D3" s="35" t="s">
        <v>57</v>
      </c>
      <c r="E3" s="15" t="s">
        <v>58</v>
      </c>
      <c r="F3" s="36">
        <v>3</v>
      </c>
      <c r="G3" s="37" t="s">
        <v>59</v>
      </c>
      <c r="H3" s="17" t="s">
        <v>188</v>
      </c>
      <c r="I3" s="42" t="s">
        <v>60</v>
      </c>
      <c r="J3" s="17" t="s">
        <v>52</v>
      </c>
    </row>
    <row r="4" spans="1:219" s="26" customFormat="1" ht="15.75" x14ac:dyDescent="0.2">
      <c r="A4" s="17">
        <v>3</v>
      </c>
      <c r="B4" s="17" t="s">
        <v>61</v>
      </c>
      <c r="C4" s="17" t="s">
        <v>67</v>
      </c>
      <c r="D4" s="35" t="s">
        <v>66</v>
      </c>
      <c r="E4" s="15" t="s">
        <v>19</v>
      </c>
      <c r="F4" s="25">
        <v>3</v>
      </c>
      <c r="G4" s="16" t="s">
        <v>69</v>
      </c>
      <c r="H4" s="17" t="s">
        <v>189</v>
      </c>
      <c r="I4" s="42" t="s">
        <v>197</v>
      </c>
      <c r="J4" s="42" t="s">
        <v>34</v>
      </c>
    </row>
    <row r="5" spans="1:219" s="26" customFormat="1" ht="31.5" x14ac:dyDescent="0.2">
      <c r="A5" s="17">
        <v>4</v>
      </c>
      <c r="B5" s="17" t="s">
        <v>65</v>
      </c>
      <c r="C5" s="17" t="s">
        <v>62</v>
      </c>
      <c r="D5" s="35" t="s">
        <v>63</v>
      </c>
      <c r="E5" s="15" t="s">
        <v>19</v>
      </c>
      <c r="F5" s="25">
        <v>3</v>
      </c>
      <c r="G5" s="16" t="s">
        <v>68</v>
      </c>
      <c r="H5" s="17" t="s">
        <v>191</v>
      </c>
      <c r="I5" s="42" t="s">
        <v>64</v>
      </c>
      <c r="J5" s="42" t="s">
        <v>74</v>
      </c>
    </row>
    <row r="6" spans="1:219" s="26" customFormat="1" ht="31.5" x14ac:dyDescent="0.2">
      <c r="A6" s="17">
        <v>5</v>
      </c>
      <c r="B6" s="17" t="s">
        <v>70</v>
      </c>
      <c r="C6" s="17" t="s">
        <v>71</v>
      </c>
      <c r="D6" s="18" t="s">
        <v>72</v>
      </c>
      <c r="E6" s="17" t="s">
        <v>20</v>
      </c>
      <c r="F6" s="25">
        <v>3</v>
      </c>
      <c r="G6" s="16" t="s">
        <v>151</v>
      </c>
      <c r="H6" s="17" t="s">
        <v>188</v>
      </c>
      <c r="I6" s="17" t="s">
        <v>73</v>
      </c>
      <c r="J6" s="17" t="s">
        <v>75</v>
      </c>
    </row>
    <row r="7" spans="1:219" s="26" customFormat="1" ht="30" x14ac:dyDescent="0.25">
      <c r="A7" s="17">
        <v>6</v>
      </c>
      <c r="B7" s="17" t="s">
        <v>76</v>
      </c>
      <c r="C7" s="17" t="s">
        <v>77</v>
      </c>
      <c r="D7" s="18" t="s">
        <v>78</v>
      </c>
      <c r="E7" s="17" t="s">
        <v>20</v>
      </c>
      <c r="F7" s="25">
        <v>3</v>
      </c>
      <c r="G7" s="16" t="s">
        <v>153</v>
      </c>
      <c r="H7" s="17" t="s">
        <v>188</v>
      </c>
      <c r="I7" s="50" t="s">
        <v>168</v>
      </c>
      <c r="J7" s="17" t="s">
        <v>167</v>
      </c>
    </row>
    <row r="8" spans="1:219" s="26" customFormat="1" ht="94.5" x14ac:dyDescent="0.2">
      <c r="A8" s="17">
        <v>7</v>
      </c>
      <c r="B8" s="17" t="s">
        <v>79</v>
      </c>
      <c r="C8" s="17" t="s">
        <v>80</v>
      </c>
      <c r="D8" s="18" t="s">
        <v>81</v>
      </c>
      <c r="E8" s="17" t="s">
        <v>20</v>
      </c>
      <c r="F8" s="25">
        <v>3</v>
      </c>
      <c r="G8" s="16" t="s">
        <v>157</v>
      </c>
      <c r="H8" s="17" t="s">
        <v>188</v>
      </c>
      <c r="I8" s="42" t="s">
        <v>82</v>
      </c>
      <c r="J8" s="17" t="s">
        <v>167</v>
      </c>
    </row>
    <row r="9" spans="1:219" s="26" customFormat="1" ht="15.75" x14ac:dyDescent="0.2">
      <c r="A9" s="17">
        <v>8</v>
      </c>
      <c r="B9" s="17" t="s">
        <v>83</v>
      </c>
      <c r="C9" s="17" t="s">
        <v>84</v>
      </c>
      <c r="D9" s="18" t="s">
        <v>85</v>
      </c>
      <c r="E9" s="17" t="s">
        <v>20</v>
      </c>
      <c r="F9" s="25">
        <v>3</v>
      </c>
      <c r="G9" s="16" t="s">
        <v>86</v>
      </c>
      <c r="H9" s="17" t="s">
        <v>188</v>
      </c>
      <c r="I9" s="17" t="s">
        <v>87</v>
      </c>
      <c r="J9" s="17" t="s">
        <v>86</v>
      </c>
    </row>
    <row r="10" spans="1:219" s="26" customFormat="1" ht="63" x14ac:dyDescent="0.2">
      <c r="A10" s="17">
        <v>9</v>
      </c>
      <c r="B10" s="17" t="s">
        <v>88</v>
      </c>
      <c r="C10" s="17" t="s">
        <v>89</v>
      </c>
      <c r="D10" s="18" t="s">
        <v>90</v>
      </c>
      <c r="E10" s="17" t="s">
        <v>20</v>
      </c>
      <c r="F10" s="25">
        <v>3</v>
      </c>
      <c r="G10" s="16" t="s">
        <v>91</v>
      </c>
      <c r="H10" s="17" t="s">
        <v>190</v>
      </c>
      <c r="I10" s="17" t="s">
        <v>92</v>
      </c>
      <c r="J10" s="17" t="s">
        <v>196</v>
      </c>
    </row>
    <row r="11" spans="1:219" s="27" customFormat="1" ht="15.75" x14ac:dyDescent="0.2">
      <c r="A11" s="17">
        <v>10</v>
      </c>
      <c r="B11" s="17" t="s">
        <v>93</v>
      </c>
      <c r="C11" s="17" t="s">
        <v>94</v>
      </c>
      <c r="D11" s="18" t="s">
        <v>95</v>
      </c>
      <c r="E11" s="17" t="s">
        <v>96</v>
      </c>
      <c r="F11" s="25">
        <v>3</v>
      </c>
      <c r="G11" s="18" t="s">
        <v>154</v>
      </c>
      <c r="H11" s="17" t="s">
        <v>189</v>
      </c>
      <c r="I11" s="17" t="s">
        <v>195</v>
      </c>
      <c r="J11" s="17" t="s">
        <v>154</v>
      </c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6"/>
      <c r="DF11" s="26"/>
      <c r="DG11" s="26"/>
      <c r="DH11" s="26"/>
      <c r="DI11" s="26"/>
      <c r="DJ11" s="26"/>
      <c r="DK11" s="26"/>
      <c r="DL11" s="26"/>
      <c r="DM11" s="26"/>
      <c r="DN11" s="26"/>
      <c r="DO11" s="26"/>
      <c r="DP11" s="26"/>
      <c r="DQ11" s="26"/>
      <c r="DR11" s="26"/>
      <c r="DS11" s="26"/>
      <c r="DT11" s="26"/>
      <c r="DU11" s="26"/>
      <c r="DV11" s="26"/>
      <c r="DW11" s="26"/>
      <c r="DX11" s="26"/>
      <c r="DY11" s="26"/>
      <c r="DZ11" s="26"/>
      <c r="EA11" s="26"/>
      <c r="EB11" s="26"/>
      <c r="EC11" s="26"/>
      <c r="ED11" s="26"/>
      <c r="EE11" s="26"/>
      <c r="EF11" s="26"/>
      <c r="EG11" s="26"/>
      <c r="EH11" s="26"/>
      <c r="EI11" s="26"/>
      <c r="EJ11" s="26"/>
      <c r="EK11" s="26"/>
      <c r="EL11" s="26"/>
      <c r="EM11" s="26"/>
      <c r="EN11" s="26"/>
      <c r="EO11" s="26"/>
      <c r="EP11" s="26"/>
      <c r="EQ11" s="26"/>
      <c r="ER11" s="26"/>
      <c r="ES11" s="26"/>
      <c r="ET11" s="26"/>
      <c r="EU11" s="26"/>
      <c r="EV11" s="26"/>
      <c r="EW11" s="26"/>
      <c r="EX11" s="26"/>
      <c r="EY11" s="26"/>
      <c r="EZ11" s="26"/>
      <c r="FA11" s="26"/>
      <c r="FB11" s="26"/>
      <c r="FC11" s="26"/>
      <c r="FD11" s="26"/>
      <c r="FE11" s="26"/>
      <c r="FF11" s="26"/>
      <c r="FG11" s="26"/>
      <c r="FH11" s="26"/>
      <c r="FI11" s="26"/>
      <c r="FJ11" s="26"/>
      <c r="FK11" s="26"/>
      <c r="FL11" s="26"/>
      <c r="FM11" s="26"/>
      <c r="FN11" s="26"/>
      <c r="FO11" s="26"/>
      <c r="FP11" s="26"/>
      <c r="FQ11" s="26"/>
      <c r="FR11" s="26"/>
      <c r="FS11" s="26"/>
      <c r="FT11" s="26"/>
      <c r="FU11" s="26"/>
      <c r="FV11" s="26"/>
      <c r="FW11" s="26"/>
      <c r="FX11" s="26"/>
      <c r="FY11" s="26"/>
      <c r="FZ11" s="26"/>
      <c r="GA11" s="26"/>
      <c r="GB11" s="26"/>
      <c r="GC11" s="26"/>
      <c r="GD11" s="26"/>
      <c r="GE11" s="26"/>
      <c r="GF11" s="26"/>
      <c r="GG11" s="26"/>
      <c r="GH11" s="26"/>
      <c r="GI11" s="26"/>
      <c r="GJ11" s="26"/>
      <c r="GK11" s="26"/>
      <c r="GL11" s="26"/>
      <c r="GM11" s="26"/>
      <c r="GN11" s="26"/>
      <c r="GO11" s="26"/>
      <c r="GP11" s="26"/>
      <c r="GQ11" s="26"/>
      <c r="GR11" s="26"/>
      <c r="GS11" s="26"/>
      <c r="GT11" s="26"/>
      <c r="GU11" s="26"/>
      <c r="GV11" s="26"/>
      <c r="GW11" s="26"/>
      <c r="GX11" s="26"/>
      <c r="GY11" s="26"/>
      <c r="GZ11" s="26"/>
      <c r="HA11" s="26"/>
      <c r="HB11" s="26"/>
      <c r="HC11" s="26"/>
      <c r="HD11" s="26"/>
      <c r="HE11" s="26"/>
      <c r="HF11" s="26"/>
      <c r="HG11" s="26"/>
      <c r="HH11" s="26"/>
      <c r="HI11" s="26"/>
      <c r="HJ11" s="26"/>
      <c r="HK11" s="26"/>
    </row>
    <row r="12" spans="1:219" s="27" customFormat="1" ht="39.75" customHeight="1" x14ac:dyDescent="0.2">
      <c r="A12" s="17">
        <v>11</v>
      </c>
      <c r="B12" s="17" t="s">
        <v>97</v>
      </c>
      <c r="C12" s="17" t="s">
        <v>98</v>
      </c>
      <c r="D12" s="18" t="s">
        <v>99</v>
      </c>
      <c r="E12" s="17" t="s">
        <v>100</v>
      </c>
      <c r="F12" s="25">
        <v>3</v>
      </c>
      <c r="G12" s="16" t="s">
        <v>30</v>
      </c>
      <c r="H12" s="17" t="s">
        <v>189</v>
      </c>
      <c r="I12" s="17" t="s">
        <v>36</v>
      </c>
      <c r="J12" s="17" t="s">
        <v>30</v>
      </c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6"/>
      <c r="DF12" s="26"/>
      <c r="DG12" s="26"/>
      <c r="DH12" s="26"/>
      <c r="DI12" s="26"/>
      <c r="DJ12" s="26"/>
      <c r="DK12" s="26"/>
      <c r="DL12" s="26"/>
      <c r="DM12" s="26"/>
      <c r="DN12" s="26"/>
      <c r="DO12" s="26"/>
      <c r="DP12" s="26"/>
      <c r="DQ12" s="26"/>
      <c r="DR12" s="26"/>
      <c r="DS12" s="26"/>
      <c r="DT12" s="26"/>
      <c r="DU12" s="26"/>
      <c r="DV12" s="26"/>
      <c r="DW12" s="26"/>
      <c r="DX12" s="26"/>
      <c r="DY12" s="26"/>
      <c r="DZ12" s="26"/>
      <c r="EA12" s="26"/>
      <c r="EB12" s="26"/>
      <c r="EC12" s="26"/>
      <c r="ED12" s="26"/>
      <c r="EE12" s="26"/>
      <c r="EF12" s="26"/>
      <c r="EG12" s="26"/>
      <c r="EH12" s="26"/>
      <c r="EI12" s="26"/>
      <c r="EJ12" s="26"/>
      <c r="EK12" s="26"/>
      <c r="EL12" s="26"/>
      <c r="EM12" s="26"/>
      <c r="EN12" s="26"/>
      <c r="EO12" s="26"/>
      <c r="EP12" s="26"/>
      <c r="EQ12" s="26"/>
      <c r="ER12" s="26"/>
      <c r="ES12" s="26"/>
      <c r="ET12" s="26"/>
      <c r="EU12" s="26"/>
      <c r="EV12" s="26"/>
      <c r="EW12" s="26"/>
      <c r="EX12" s="26"/>
      <c r="EY12" s="26"/>
      <c r="EZ12" s="26"/>
      <c r="FA12" s="26"/>
      <c r="FB12" s="26"/>
      <c r="FC12" s="26"/>
      <c r="FD12" s="26"/>
      <c r="FE12" s="26"/>
      <c r="FF12" s="26"/>
      <c r="FG12" s="26"/>
      <c r="FH12" s="26"/>
      <c r="FI12" s="26"/>
      <c r="FJ12" s="26"/>
      <c r="FK12" s="26"/>
      <c r="FL12" s="26"/>
      <c r="FM12" s="26"/>
      <c r="FN12" s="26"/>
      <c r="FO12" s="26"/>
      <c r="FP12" s="26"/>
      <c r="FQ12" s="26"/>
      <c r="FR12" s="26"/>
      <c r="FS12" s="26"/>
      <c r="FT12" s="26"/>
      <c r="FU12" s="26"/>
      <c r="FV12" s="26"/>
      <c r="FW12" s="26"/>
      <c r="FX12" s="26"/>
      <c r="FY12" s="26"/>
      <c r="FZ12" s="26"/>
      <c r="GA12" s="26"/>
      <c r="GB12" s="26"/>
      <c r="GC12" s="26"/>
      <c r="GD12" s="26"/>
      <c r="GE12" s="26"/>
      <c r="GF12" s="26"/>
      <c r="GG12" s="26"/>
      <c r="GH12" s="26"/>
      <c r="GI12" s="26"/>
      <c r="GJ12" s="26"/>
      <c r="GK12" s="26"/>
      <c r="GL12" s="26"/>
      <c r="GM12" s="26"/>
      <c r="GN12" s="26"/>
      <c r="GO12" s="26"/>
      <c r="GP12" s="26"/>
      <c r="GQ12" s="26"/>
      <c r="GR12" s="26"/>
      <c r="GS12" s="26"/>
      <c r="GT12" s="26"/>
      <c r="GU12" s="26"/>
      <c r="GV12" s="26"/>
      <c r="GW12" s="26"/>
      <c r="GX12" s="26"/>
      <c r="GY12" s="26"/>
      <c r="GZ12" s="26"/>
      <c r="HA12" s="26"/>
      <c r="HB12" s="26"/>
      <c r="HC12" s="26"/>
      <c r="HD12" s="26"/>
      <c r="HE12" s="26"/>
      <c r="HF12" s="26"/>
      <c r="HG12" s="26"/>
      <c r="HH12" s="26"/>
      <c r="HI12" s="26"/>
      <c r="HJ12" s="26"/>
      <c r="HK12" s="26"/>
    </row>
    <row r="13" spans="1:219" s="26" customFormat="1" ht="47.25" x14ac:dyDescent="0.2">
      <c r="A13" s="17">
        <v>12</v>
      </c>
      <c r="B13" s="17" t="s">
        <v>101</v>
      </c>
      <c r="C13" s="17" t="s">
        <v>102</v>
      </c>
      <c r="D13" s="18" t="s">
        <v>103</v>
      </c>
      <c r="E13" s="17" t="s">
        <v>100</v>
      </c>
      <c r="F13" s="25">
        <v>3</v>
      </c>
      <c r="G13" s="16" t="s">
        <v>155</v>
      </c>
      <c r="H13" s="17" t="s">
        <v>199</v>
      </c>
      <c r="I13" s="17" t="s">
        <v>193</v>
      </c>
      <c r="J13" s="17" t="s">
        <v>155</v>
      </c>
    </row>
    <row r="14" spans="1:219" s="26" customFormat="1" ht="15.75" x14ac:dyDescent="0.2">
      <c r="A14" s="17">
        <v>13</v>
      </c>
      <c r="B14" s="17" t="s">
        <v>104</v>
      </c>
      <c r="C14" s="17" t="s">
        <v>105</v>
      </c>
      <c r="D14" s="18" t="s">
        <v>107</v>
      </c>
      <c r="E14" s="17" t="s">
        <v>106</v>
      </c>
      <c r="F14" s="25">
        <v>3</v>
      </c>
      <c r="G14" s="32" t="s">
        <v>187</v>
      </c>
      <c r="H14" s="17" t="s">
        <v>191</v>
      </c>
      <c r="I14" s="17"/>
      <c r="J14" s="17" t="s">
        <v>194</v>
      </c>
    </row>
    <row r="15" spans="1:219" s="26" customFormat="1" ht="27.75" customHeight="1" x14ac:dyDescent="0.2">
      <c r="A15" s="17">
        <v>14</v>
      </c>
      <c r="B15" s="17" t="s">
        <v>108</v>
      </c>
      <c r="C15" s="17" t="s">
        <v>109</v>
      </c>
      <c r="D15" s="18" t="s">
        <v>110</v>
      </c>
      <c r="E15" s="17" t="s">
        <v>27</v>
      </c>
      <c r="F15" s="25">
        <v>3</v>
      </c>
      <c r="G15" s="32" t="s">
        <v>40</v>
      </c>
      <c r="H15" s="17" t="s">
        <v>192</v>
      </c>
      <c r="I15" s="42" t="s">
        <v>111</v>
      </c>
      <c r="J15" s="17" t="s">
        <v>37</v>
      </c>
    </row>
    <row r="16" spans="1:219" s="26" customFormat="1" ht="27.75" customHeight="1" x14ac:dyDescent="0.2">
      <c r="A16" s="17">
        <v>15</v>
      </c>
      <c r="B16" s="17" t="s">
        <v>112</v>
      </c>
      <c r="C16" s="17" t="s">
        <v>113</v>
      </c>
      <c r="D16" s="18" t="s">
        <v>114</v>
      </c>
      <c r="E16" s="17" t="s">
        <v>115</v>
      </c>
      <c r="F16" s="25">
        <v>3</v>
      </c>
      <c r="G16" s="32" t="s">
        <v>116</v>
      </c>
      <c r="H16" s="17" t="s">
        <v>191</v>
      </c>
      <c r="I16" s="17" t="s">
        <v>117</v>
      </c>
      <c r="J16" s="17" t="s">
        <v>116</v>
      </c>
    </row>
    <row r="17" spans="1:10" s="26" customFormat="1" ht="27.75" customHeight="1" x14ac:dyDescent="0.2">
      <c r="A17" s="17">
        <v>16</v>
      </c>
      <c r="B17" s="15" t="s">
        <v>118</v>
      </c>
      <c r="C17" s="15" t="s">
        <v>119</v>
      </c>
      <c r="D17" s="35" t="s">
        <v>120</v>
      </c>
      <c r="E17" s="17" t="s">
        <v>27</v>
      </c>
      <c r="F17" s="36">
        <v>3</v>
      </c>
      <c r="G17" s="35" t="s">
        <v>35</v>
      </c>
      <c r="H17" s="17" t="s">
        <v>188</v>
      </c>
      <c r="I17" s="17" t="s">
        <v>39</v>
      </c>
      <c r="J17" s="17" t="s">
        <v>35</v>
      </c>
    </row>
    <row r="18" spans="1:10" s="26" customFormat="1" ht="27.75" customHeight="1" x14ac:dyDescent="0.2">
      <c r="A18" s="17">
        <v>17</v>
      </c>
      <c r="B18" s="17" t="s">
        <v>121</v>
      </c>
      <c r="C18" s="17" t="s">
        <v>122</v>
      </c>
      <c r="D18" s="18" t="s">
        <v>123</v>
      </c>
      <c r="E18" s="15" t="s">
        <v>129</v>
      </c>
      <c r="F18" s="25">
        <v>3</v>
      </c>
      <c r="G18" s="18" t="s">
        <v>124</v>
      </c>
      <c r="H18" s="17" t="s">
        <v>188</v>
      </c>
      <c r="I18" s="17" t="s">
        <v>125</v>
      </c>
      <c r="J18" s="17" t="s">
        <v>124</v>
      </c>
    </row>
    <row r="19" spans="1:10" s="26" customFormat="1" ht="27.75" customHeight="1" x14ac:dyDescent="0.2">
      <c r="A19" s="17">
        <v>18</v>
      </c>
      <c r="B19" s="15" t="s">
        <v>126</v>
      </c>
      <c r="C19" s="15" t="s">
        <v>127</v>
      </c>
      <c r="D19" s="35" t="s">
        <v>128</v>
      </c>
      <c r="E19" s="15" t="s">
        <v>129</v>
      </c>
      <c r="F19" s="36">
        <v>3</v>
      </c>
      <c r="G19" s="35" t="s">
        <v>38</v>
      </c>
      <c r="H19" s="17" t="s">
        <v>189</v>
      </c>
      <c r="I19" s="42" t="s">
        <v>130</v>
      </c>
      <c r="J19" s="17" t="s">
        <v>38</v>
      </c>
    </row>
    <row r="20" spans="1:10" ht="24.95" customHeight="1" x14ac:dyDescent="0.2">
      <c r="A20" s="14"/>
      <c r="B20" s="14"/>
      <c r="C20" s="14"/>
      <c r="E20" s="19" t="s">
        <v>21</v>
      </c>
      <c r="F20" s="21">
        <f>SUM(F2:F19)</f>
        <v>54</v>
      </c>
      <c r="G20" s="14"/>
      <c r="H20" s="14"/>
      <c r="I20" s="14"/>
      <c r="J20" s="14"/>
    </row>
    <row r="21" spans="1:10" ht="21" customHeight="1" x14ac:dyDescent="0.2">
      <c r="A21" s="14"/>
      <c r="B21" s="14"/>
      <c r="C21" s="14"/>
      <c r="G21" s="14"/>
      <c r="H21" s="14"/>
      <c r="I21" s="14"/>
      <c r="J21" s="14"/>
    </row>
  </sheetData>
  <autoFilter ref="A1:HK20" xr:uid="{00000000-0001-0000-0000-000000000000}"/>
  <hyperlinks>
    <hyperlink ref="I3" r:id="rId1" xr:uid="{44031482-4643-4D08-9767-7938566A3A18}"/>
    <hyperlink ref="J4" r:id="rId2" display="ritesh@nirmauni.ac.in," xr:uid="{FEF7BD13-759E-4CC7-A60F-7E24F6DACB35}"/>
    <hyperlink ref="I5" r:id="rId3" xr:uid="{F84B1CB5-513B-4D48-8CEA-12D240B0BC4B}"/>
    <hyperlink ref="J5" r:id="rId4" display="ritesh@nirmauni.ac.in," xr:uid="{E1C35109-53E8-485C-9682-53D87D26DF6B}"/>
    <hyperlink ref="I15" r:id="rId5" xr:uid="{2FF12F35-AEC6-473A-A40E-C67823DBF52B}"/>
    <hyperlink ref="I19" r:id="rId6" xr:uid="{C4819668-91C6-4A07-B29D-D703E3116EB0}"/>
    <hyperlink ref="I2" r:id="rId7" display="dr.patanvadia@gmail.com" xr:uid="{BBCAB806-6D48-407B-8FBB-7C5EA6569C9A}"/>
    <hyperlink ref="I4" r:id="rId8" xr:uid="{736BE64A-91BC-4CAA-8078-0623162038C4}"/>
  </hyperlinks>
  <printOptions horizontalCentered="1"/>
  <pageMargins left="0.15748031496062992" right="0.15748031496062992" top="1.0236220472440944" bottom="0.51181102362204722" header="0.27559055118110237" footer="0.51181102362204722"/>
  <pageSetup paperSize="9" scale="75" fitToWidth="0" orientation="landscape" horizontalDpi="1200" verticalDpi="1200" r:id="rId9"/>
  <headerFooter alignWithMargins="0">
    <oddHeader>&amp;C&amp;"+,Bold"&amp;14Institute of Management, Nirma University
Master of Business Administration &amp; B. Tech (CSE) MBA
Batch: 2024 - 2026 &amp; 2021-26
 (Term - VI)
Details of Courses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132"/>
  <sheetViews>
    <sheetView tabSelected="1" zoomScale="81" zoomScaleNormal="81" workbookViewId="0">
      <selection activeCell="F9" sqref="F9"/>
    </sheetView>
  </sheetViews>
  <sheetFormatPr defaultRowHeight="18" customHeight="1" x14ac:dyDescent="0.2"/>
  <cols>
    <col min="1" max="1" width="11.7109375" style="1" bestFit="1" customWidth="1"/>
    <col min="2" max="2" width="11.5703125" style="1" customWidth="1"/>
    <col min="3" max="3" width="26.42578125" style="1" bestFit="1" customWidth="1"/>
    <col min="4" max="4" width="26.42578125" style="1" customWidth="1"/>
    <col min="5" max="5" width="25.5703125" style="1" customWidth="1"/>
    <col min="6" max="6" width="24" style="1" customWidth="1"/>
    <col min="7" max="7" width="12.140625" style="1" customWidth="1"/>
    <col min="8" max="8" width="18.7109375" style="1" customWidth="1"/>
    <col min="9" max="9" width="29.85546875" style="1" customWidth="1"/>
    <col min="10" max="10" width="36.7109375" style="1" customWidth="1"/>
    <col min="11" max="11" width="33.7109375" style="1" customWidth="1"/>
    <col min="12" max="14" width="13.85546875" style="1" bestFit="1" customWidth="1"/>
    <col min="15" max="16" width="9.140625" style="1" customWidth="1"/>
    <col min="17" max="17" width="10" style="1" bestFit="1" customWidth="1"/>
    <col min="18" max="18" width="9.140625" style="1"/>
    <col min="19" max="19" width="10.5703125" style="1" bestFit="1" customWidth="1"/>
    <col min="20" max="20" width="13.5703125" style="1" bestFit="1" customWidth="1"/>
    <col min="21" max="21" width="16.28515625" style="1" bestFit="1" customWidth="1"/>
    <col min="22" max="22" width="19" style="1" bestFit="1" customWidth="1"/>
    <col min="23" max="23" width="12.5703125" style="1" bestFit="1" customWidth="1"/>
    <col min="24" max="24" width="16.7109375" style="1" bestFit="1" customWidth="1"/>
    <col min="25" max="25" width="12.140625" style="1" bestFit="1" customWidth="1"/>
    <col min="26" max="26" width="12.7109375" style="1" bestFit="1" customWidth="1"/>
    <col min="27" max="27" width="11.42578125" style="1" bestFit="1" customWidth="1"/>
    <col min="28" max="28" width="10.7109375" style="1" bestFit="1" customWidth="1"/>
    <col min="29" max="29" width="11.42578125" style="1" bestFit="1" customWidth="1"/>
    <col min="30" max="16384" width="9.140625" style="1"/>
  </cols>
  <sheetData>
    <row r="1" spans="1:30" ht="23.25" customHeight="1" x14ac:dyDescent="0.2">
      <c r="A1" s="65" t="s">
        <v>5</v>
      </c>
      <c r="B1" s="65" t="s">
        <v>6</v>
      </c>
      <c r="C1" s="5" t="s">
        <v>0</v>
      </c>
      <c r="D1" s="5" t="s">
        <v>1</v>
      </c>
      <c r="E1" s="5" t="s">
        <v>2</v>
      </c>
      <c r="F1" s="5" t="s">
        <v>3</v>
      </c>
      <c r="G1" s="5" t="s">
        <v>29</v>
      </c>
      <c r="H1" s="5" t="s">
        <v>4</v>
      </c>
      <c r="I1" s="5" t="s">
        <v>7</v>
      </c>
      <c r="J1" s="5" t="s">
        <v>8</v>
      </c>
      <c r="K1" s="5" t="s">
        <v>9</v>
      </c>
      <c r="L1" s="5" t="s">
        <v>22</v>
      </c>
      <c r="M1" s="5" t="s">
        <v>25</v>
      </c>
      <c r="N1" s="5" t="s">
        <v>26</v>
      </c>
      <c r="O1" s="60" t="s">
        <v>6</v>
      </c>
      <c r="Q1" s="65" t="s">
        <v>5</v>
      </c>
      <c r="R1" s="65" t="s">
        <v>6</v>
      </c>
      <c r="S1" s="5" t="s">
        <v>0</v>
      </c>
      <c r="T1" s="5" t="s">
        <v>1</v>
      </c>
      <c r="U1" s="5" t="s">
        <v>2</v>
      </c>
      <c r="V1" s="5" t="s">
        <v>3</v>
      </c>
      <c r="W1" s="5" t="s">
        <v>29</v>
      </c>
      <c r="X1" s="5" t="s">
        <v>4</v>
      </c>
      <c r="Y1" s="5" t="s">
        <v>7</v>
      </c>
      <c r="Z1" s="5" t="s">
        <v>8</v>
      </c>
      <c r="AA1" s="5" t="s">
        <v>9</v>
      </c>
      <c r="AB1" s="5" t="s">
        <v>22</v>
      </c>
      <c r="AC1" s="5" t="s">
        <v>25</v>
      </c>
      <c r="AD1" s="5" t="s">
        <v>26</v>
      </c>
    </row>
    <row r="2" spans="1:30" ht="51" customHeight="1" x14ac:dyDescent="0.2">
      <c r="A2" s="66"/>
      <c r="B2" s="66"/>
      <c r="C2" s="6" t="s">
        <v>41</v>
      </c>
      <c r="D2" s="6" t="s">
        <v>42</v>
      </c>
      <c r="E2" s="6" t="s">
        <v>43</v>
      </c>
      <c r="F2" s="6" t="s">
        <v>44</v>
      </c>
      <c r="G2" s="6" t="s">
        <v>50</v>
      </c>
      <c r="H2" s="6" t="s">
        <v>45</v>
      </c>
      <c r="I2" s="6" t="s">
        <v>46</v>
      </c>
      <c r="J2" s="6" t="s">
        <v>47</v>
      </c>
      <c r="K2" s="6" t="s">
        <v>24</v>
      </c>
      <c r="L2" s="6" t="s">
        <v>48</v>
      </c>
      <c r="M2" s="6" t="s">
        <v>49</v>
      </c>
      <c r="N2" s="45" t="s">
        <v>28</v>
      </c>
      <c r="O2" s="61"/>
      <c r="Q2" s="66"/>
      <c r="R2" s="66"/>
      <c r="S2" s="6" t="s">
        <v>41</v>
      </c>
      <c r="T2" s="6" t="s">
        <v>42</v>
      </c>
      <c r="U2" s="6" t="s">
        <v>43</v>
      </c>
      <c r="V2" s="6" t="s">
        <v>44</v>
      </c>
      <c r="W2" s="6" t="s">
        <v>50</v>
      </c>
      <c r="X2" s="6" t="s">
        <v>45</v>
      </c>
      <c r="Y2" s="6" t="s">
        <v>46</v>
      </c>
      <c r="Z2" s="6" t="s">
        <v>47</v>
      </c>
      <c r="AA2" s="6" t="s">
        <v>24</v>
      </c>
      <c r="AB2" s="6" t="s">
        <v>48</v>
      </c>
      <c r="AC2" s="6" t="s">
        <v>49</v>
      </c>
      <c r="AD2" s="45" t="s">
        <v>28</v>
      </c>
    </row>
    <row r="3" spans="1:30" ht="24.95" customHeight="1" x14ac:dyDescent="0.2">
      <c r="A3" s="3"/>
      <c r="B3" s="4"/>
      <c r="C3" s="67" t="s">
        <v>51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9"/>
      <c r="Q3" s="3"/>
      <c r="R3" s="4"/>
      <c r="S3" s="67" t="s">
        <v>51</v>
      </c>
      <c r="T3" s="68"/>
      <c r="U3" s="68"/>
      <c r="V3" s="68"/>
      <c r="W3" s="68"/>
      <c r="X3" s="68"/>
      <c r="Y3" s="68"/>
      <c r="Z3" s="68"/>
      <c r="AA3" s="68"/>
      <c r="AB3" s="68"/>
      <c r="AC3" s="68"/>
      <c r="AD3" s="69"/>
    </row>
    <row r="4" spans="1:30" ht="30" customHeight="1" x14ac:dyDescent="0.2">
      <c r="A4" s="3">
        <v>46027</v>
      </c>
      <c r="B4" s="4" t="str">
        <f t="shared" ref="B4:B65" si="0">TEXT(A4,"dddd")</f>
        <v>Monday</v>
      </c>
      <c r="C4" s="7" t="s">
        <v>136</v>
      </c>
      <c r="D4" s="7" t="s">
        <v>137</v>
      </c>
      <c r="E4" s="7" t="s">
        <v>133</v>
      </c>
      <c r="F4" s="7" t="s">
        <v>134</v>
      </c>
      <c r="G4" s="7" t="s">
        <v>140</v>
      </c>
      <c r="H4" s="7" t="s">
        <v>135</v>
      </c>
      <c r="I4" s="7" t="s">
        <v>139</v>
      </c>
      <c r="J4" s="7" t="s">
        <v>139</v>
      </c>
      <c r="K4" s="7"/>
      <c r="L4" s="7"/>
      <c r="M4" s="7"/>
      <c r="N4" s="7"/>
      <c r="O4" s="1">
        <v>1</v>
      </c>
      <c r="Q4" s="3">
        <v>46027</v>
      </c>
      <c r="R4" s="28" t="str">
        <f t="shared" ref="R4:R67" si="1">TEXT(Q4,"dddd")</f>
        <v>Monday</v>
      </c>
      <c r="S4" s="7" t="s">
        <v>133</v>
      </c>
      <c r="T4" s="7" t="s">
        <v>134</v>
      </c>
      <c r="U4" s="7" t="s">
        <v>158</v>
      </c>
      <c r="V4" s="7" t="s">
        <v>159</v>
      </c>
      <c r="W4" s="7" t="s">
        <v>140</v>
      </c>
      <c r="X4" s="7" t="s">
        <v>139</v>
      </c>
      <c r="Y4" s="7"/>
      <c r="Z4" s="7"/>
      <c r="AA4" s="7"/>
      <c r="AB4" s="7"/>
      <c r="AC4" s="7"/>
      <c r="AD4" s="38"/>
    </row>
    <row r="5" spans="1:30" ht="30" customHeight="1" x14ac:dyDescent="0.2">
      <c r="A5" s="3">
        <v>46028</v>
      </c>
      <c r="B5" s="4" t="str">
        <f t="shared" si="0"/>
        <v>Tuesday</v>
      </c>
      <c r="C5" s="7" t="s">
        <v>152</v>
      </c>
      <c r="D5" s="7" t="s">
        <v>156</v>
      </c>
      <c r="E5" s="7" t="s">
        <v>132</v>
      </c>
      <c r="F5" s="7" t="s">
        <v>131</v>
      </c>
      <c r="G5" s="7" t="s">
        <v>140</v>
      </c>
      <c r="H5" s="7" t="s">
        <v>113</v>
      </c>
      <c r="I5" s="7" t="s">
        <v>139</v>
      </c>
      <c r="J5" s="7" t="s">
        <v>139</v>
      </c>
      <c r="K5" s="7" t="s">
        <v>119</v>
      </c>
      <c r="L5" s="7"/>
      <c r="M5" s="7"/>
      <c r="N5" s="7"/>
      <c r="O5" s="1">
        <v>2</v>
      </c>
      <c r="Q5" s="3">
        <v>46028</v>
      </c>
      <c r="R5" s="28" t="str">
        <f t="shared" si="1"/>
        <v>Tuesday</v>
      </c>
      <c r="S5" s="7" t="s">
        <v>132</v>
      </c>
      <c r="T5" s="7" t="s">
        <v>160</v>
      </c>
      <c r="U5" s="7" t="s">
        <v>162</v>
      </c>
      <c r="V5" s="7" t="s">
        <v>156</v>
      </c>
      <c r="W5" s="7" t="s">
        <v>140</v>
      </c>
      <c r="X5" s="7" t="s">
        <v>163</v>
      </c>
      <c r="Y5" s="7" t="s">
        <v>164</v>
      </c>
      <c r="Z5" s="7"/>
      <c r="AA5" s="7"/>
      <c r="AB5" s="7"/>
      <c r="AC5" s="7"/>
      <c r="AD5" s="38"/>
    </row>
    <row r="6" spans="1:30" ht="30" customHeight="1" x14ac:dyDescent="0.2">
      <c r="A6" s="3">
        <v>46029</v>
      </c>
      <c r="B6" s="4" t="str">
        <f t="shared" si="0"/>
        <v>Wednesday</v>
      </c>
      <c r="C6" s="7" t="s">
        <v>136</v>
      </c>
      <c r="D6" s="7" t="s">
        <v>137</v>
      </c>
      <c r="E6" s="7" t="s">
        <v>133</v>
      </c>
      <c r="F6" s="7" t="s">
        <v>134</v>
      </c>
      <c r="G6" s="7" t="s">
        <v>140</v>
      </c>
      <c r="H6" s="7" t="s">
        <v>135</v>
      </c>
      <c r="I6" s="7" t="s">
        <v>98</v>
      </c>
      <c r="J6" s="7" t="s">
        <v>98</v>
      </c>
      <c r="K6" s="7" t="s">
        <v>98</v>
      </c>
      <c r="L6" s="7" t="s">
        <v>119</v>
      </c>
      <c r="M6" s="7"/>
      <c r="N6" s="7"/>
      <c r="O6" s="1">
        <v>3</v>
      </c>
      <c r="P6" s="1" t="s">
        <v>141</v>
      </c>
      <c r="Q6" s="3">
        <v>46029</v>
      </c>
      <c r="R6" s="28" t="str">
        <f t="shared" si="1"/>
        <v>Wednesday</v>
      </c>
      <c r="S6" s="7" t="s">
        <v>133</v>
      </c>
      <c r="T6" s="7" t="s">
        <v>134</v>
      </c>
      <c r="U6" s="7" t="s">
        <v>158</v>
      </c>
      <c r="V6" s="7" t="s">
        <v>159</v>
      </c>
      <c r="W6" s="7" t="s">
        <v>140</v>
      </c>
      <c r="X6" s="7" t="s">
        <v>139</v>
      </c>
      <c r="Y6" s="7" t="s">
        <v>119</v>
      </c>
      <c r="Z6" s="7"/>
      <c r="AA6" s="7"/>
      <c r="AB6" s="7"/>
      <c r="AC6" s="7"/>
      <c r="AD6" s="38"/>
    </row>
    <row r="7" spans="1:30" ht="30" customHeight="1" x14ac:dyDescent="0.2">
      <c r="A7" s="3">
        <v>46030</v>
      </c>
      <c r="B7" s="4" t="str">
        <f t="shared" si="0"/>
        <v>Thursday</v>
      </c>
      <c r="C7" s="7" t="s">
        <v>152</v>
      </c>
      <c r="D7" s="7" t="s">
        <v>156</v>
      </c>
      <c r="E7" s="7" t="s">
        <v>132</v>
      </c>
      <c r="F7" s="7" t="s">
        <v>198</v>
      </c>
      <c r="G7" s="7" t="s">
        <v>140</v>
      </c>
      <c r="H7" s="7" t="s">
        <v>113</v>
      </c>
      <c r="I7" s="7" t="s">
        <v>105</v>
      </c>
      <c r="J7" s="7" t="s">
        <v>138</v>
      </c>
      <c r="K7" s="7" t="s">
        <v>138</v>
      </c>
      <c r="L7" s="7" t="s">
        <v>119</v>
      </c>
      <c r="M7" s="7"/>
      <c r="N7" s="7"/>
      <c r="O7" s="1">
        <v>4</v>
      </c>
      <c r="P7" s="1" t="s">
        <v>141</v>
      </c>
      <c r="Q7" s="3">
        <v>46030</v>
      </c>
      <c r="R7" s="28" t="str">
        <f t="shared" si="1"/>
        <v>Thursday</v>
      </c>
      <c r="S7" s="7" t="s">
        <v>132</v>
      </c>
      <c r="T7" s="7" t="s">
        <v>160</v>
      </c>
      <c r="U7" s="7" t="s">
        <v>162</v>
      </c>
      <c r="V7" s="7" t="s">
        <v>156</v>
      </c>
      <c r="W7" s="7" t="s">
        <v>140</v>
      </c>
      <c r="X7" s="7" t="s">
        <v>163</v>
      </c>
      <c r="Y7" s="7" t="s">
        <v>164</v>
      </c>
      <c r="Z7" s="7"/>
      <c r="AA7" s="7"/>
      <c r="AB7" s="7"/>
      <c r="AC7" s="7"/>
      <c r="AD7" s="38"/>
    </row>
    <row r="8" spans="1:30" ht="30" customHeight="1" x14ac:dyDescent="0.2">
      <c r="A8" s="3">
        <v>46031</v>
      </c>
      <c r="B8" s="4" t="str">
        <f t="shared" si="0"/>
        <v>Friday</v>
      </c>
      <c r="C8" s="7" t="s">
        <v>136</v>
      </c>
      <c r="D8" s="7" t="s">
        <v>137</v>
      </c>
      <c r="E8" s="7" t="s">
        <v>133</v>
      </c>
      <c r="F8" s="7" t="s">
        <v>134</v>
      </c>
      <c r="G8" s="7"/>
      <c r="H8" s="7" t="s">
        <v>135</v>
      </c>
      <c r="I8" s="7" t="s">
        <v>77</v>
      </c>
      <c r="J8" s="7" t="s">
        <v>138</v>
      </c>
      <c r="K8" s="7" t="s">
        <v>138</v>
      </c>
      <c r="L8" s="7"/>
      <c r="M8" s="7"/>
      <c r="N8" s="7"/>
      <c r="O8" s="1">
        <v>5</v>
      </c>
      <c r="P8" s="1" t="s">
        <v>141</v>
      </c>
      <c r="Q8" s="3">
        <v>46031</v>
      </c>
      <c r="R8" s="28" t="str">
        <f t="shared" si="1"/>
        <v>Friday</v>
      </c>
      <c r="S8" s="7" t="s">
        <v>133</v>
      </c>
      <c r="T8" s="7" t="s">
        <v>134</v>
      </c>
      <c r="U8" s="7" t="s">
        <v>158</v>
      </c>
      <c r="V8" s="7" t="s">
        <v>159</v>
      </c>
      <c r="W8" s="7" t="s">
        <v>140</v>
      </c>
      <c r="X8" s="7" t="s">
        <v>139</v>
      </c>
      <c r="Y8" s="7"/>
      <c r="Z8" s="7"/>
      <c r="AA8" s="7"/>
      <c r="AB8" s="7"/>
      <c r="AC8" s="7"/>
      <c r="AD8" s="38"/>
    </row>
    <row r="9" spans="1:30" ht="30" customHeight="1" x14ac:dyDescent="0.2">
      <c r="A9" s="3">
        <v>46032</v>
      </c>
      <c r="B9" s="4" t="str">
        <f t="shared" si="0"/>
        <v>Saturday</v>
      </c>
      <c r="C9" s="8"/>
      <c r="D9" s="8"/>
      <c r="E9" s="8"/>
      <c r="F9" s="8"/>
      <c r="G9" s="8"/>
      <c r="H9" s="7" t="s">
        <v>140</v>
      </c>
      <c r="I9" s="7" t="s">
        <v>77</v>
      </c>
      <c r="J9" s="7" t="s">
        <v>77</v>
      </c>
      <c r="K9" s="7"/>
      <c r="L9" s="7"/>
      <c r="M9" s="7"/>
      <c r="N9" s="7"/>
      <c r="Q9" s="3">
        <v>46032</v>
      </c>
      <c r="R9" s="28" t="str">
        <f t="shared" si="1"/>
        <v>Saturday</v>
      </c>
      <c r="S9" s="8"/>
      <c r="T9" s="8"/>
      <c r="U9" s="8"/>
      <c r="V9" s="8"/>
      <c r="W9" s="8"/>
      <c r="X9" s="7" t="s">
        <v>140</v>
      </c>
      <c r="Y9" s="7"/>
      <c r="Z9" s="7"/>
      <c r="AA9" s="7"/>
      <c r="AB9" s="7"/>
      <c r="AC9" s="7"/>
      <c r="AD9" s="38"/>
    </row>
    <row r="10" spans="1:30" ht="30" hidden="1" customHeight="1" thickBot="1" x14ac:dyDescent="0.25">
      <c r="A10" s="3">
        <v>46033</v>
      </c>
      <c r="B10" s="28" t="str">
        <f t="shared" si="0"/>
        <v>Sunday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44"/>
      <c r="N10" s="39"/>
      <c r="Q10" s="3">
        <v>46033</v>
      </c>
      <c r="R10" s="28" t="str">
        <f t="shared" si="1"/>
        <v>Sunday</v>
      </c>
      <c r="S10" s="7"/>
      <c r="T10" s="7"/>
      <c r="U10" s="7"/>
      <c r="V10" s="7"/>
      <c r="W10" s="7"/>
      <c r="X10" s="7"/>
      <c r="Y10" s="7"/>
      <c r="Z10" s="7"/>
      <c r="AA10" s="7"/>
      <c r="AB10" s="7"/>
      <c r="AC10" s="44"/>
      <c r="AD10" s="39"/>
    </row>
    <row r="11" spans="1:30" ht="30" hidden="1" customHeight="1" x14ac:dyDescent="0.2">
      <c r="A11" s="3">
        <v>46034</v>
      </c>
      <c r="B11" s="28" t="str">
        <f t="shared" si="0"/>
        <v>Monday</v>
      </c>
      <c r="C11" s="7"/>
      <c r="D11" s="7"/>
      <c r="E11" s="7"/>
      <c r="F11" s="7"/>
      <c r="G11" s="7"/>
      <c r="H11" s="7"/>
      <c r="I11" s="43"/>
      <c r="J11" s="7"/>
      <c r="K11" s="7"/>
      <c r="L11" s="7"/>
      <c r="M11" s="7"/>
      <c r="N11" s="38"/>
      <c r="O11" s="1">
        <v>6</v>
      </c>
      <c r="Q11" s="3">
        <v>46034</v>
      </c>
      <c r="R11" s="28" t="str">
        <f t="shared" si="1"/>
        <v>Monday</v>
      </c>
      <c r="S11" s="7"/>
      <c r="T11" s="7"/>
      <c r="U11" s="7"/>
      <c r="V11" s="7"/>
      <c r="W11" s="7"/>
      <c r="X11" s="7"/>
      <c r="Y11" s="43"/>
      <c r="Z11" s="7"/>
      <c r="AA11" s="7"/>
      <c r="AB11" s="7"/>
      <c r="AC11" s="7"/>
      <c r="AD11" s="38"/>
    </row>
    <row r="12" spans="1:30" ht="30" hidden="1" customHeight="1" x14ac:dyDescent="0.2">
      <c r="A12" s="3">
        <v>46035</v>
      </c>
      <c r="B12" s="28" t="str">
        <f t="shared" si="0"/>
        <v>Tuesday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38"/>
      <c r="O12" s="1">
        <v>7</v>
      </c>
      <c r="Q12" s="3">
        <v>46035</v>
      </c>
      <c r="R12" s="28" t="str">
        <f t="shared" si="1"/>
        <v>Tuesday</v>
      </c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38"/>
    </row>
    <row r="13" spans="1:30" ht="30" hidden="1" customHeight="1" x14ac:dyDescent="0.2">
      <c r="A13" s="3">
        <v>46036</v>
      </c>
      <c r="B13" s="28" t="str">
        <f t="shared" si="0"/>
        <v>Wednesday</v>
      </c>
      <c r="C13" s="62" t="s">
        <v>142</v>
      </c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4"/>
      <c r="Q13" s="3">
        <v>46036</v>
      </c>
      <c r="R13" s="28" t="str">
        <f t="shared" si="1"/>
        <v>Wednesday</v>
      </c>
      <c r="S13" s="62" t="s">
        <v>142</v>
      </c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4"/>
    </row>
    <row r="14" spans="1:30" ht="30" hidden="1" customHeight="1" x14ac:dyDescent="0.2">
      <c r="A14" s="3">
        <v>46037</v>
      </c>
      <c r="B14" s="28" t="str">
        <f t="shared" si="0"/>
        <v>Thursday</v>
      </c>
      <c r="C14" s="7"/>
      <c r="D14" s="7"/>
      <c r="E14" s="7"/>
      <c r="F14" s="7"/>
      <c r="G14" s="7"/>
      <c r="H14" s="7"/>
      <c r="I14" s="43"/>
      <c r="J14" s="7"/>
      <c r="K14" s="7"/>
      <c r="L14" s="7"/>
      <c r="M14" s="7"/>
      <c r="N14" s="38"/>
      <c r="O14" s="1">
        <v>8</v>
      </c>
      <c r="P14" s="1" t="s">
        <v>23</v>
      </c>
      <c r="Q14" s="3">
        <v>46037</v>
      </c>
      <c r="R14" s="28" t="str">
        <f t="shared" si="1"/>
        <v>Thursday</v>
      </c>
      <c r="S14" s="7"/>
      <c r="T14" s="7"/>
      <c r="U14" s="7"/>
      <c r="V14" s="7"/>
      <c r="W14" s="7"/>
      <c r="X14" s="7"/>
      <c r="Y14" s="43"/>
      <c r="Z14" s="7"/>
      <c r="AA14" s="7"/>
      <c r="AB14" s="7"/>
      <c r="AC14" s="7"/>
      <c r="AD14" s="38"/>
    </row>
    <row r="15" spans="1:30" ht="30" hidden="1" customHeight="1" x14ac:dyDescent="0.2">
      <c r="A15" s="3">
        <v>46038</v>
      </c>
      <c r="B15" s="28" t="str">
        <f t="shared" si="0"/>
        <v>Friday</v>
      </c>
      <c r="C15" s="7"/>
      <c r="D15" s="7"/>
      <c r="E15" s="7"/>
      <c r="F15" s="7"/>
      <c r="G15" s="7"/>
      <c r="H15" s="7"/>
      <c r="I15" s="43"/>
      <c r="J15" s="7"/>
      <c r="K15" s="7"/>
      <c r="L15" s="7"/>
      <c r="M15" s="7"/>
      <c r="N15" s="38"/>
      <c r="O15" s="1">
        <v>9</v>
      </c>
      <c r="Q15" s="3">
        <v>46038</v>
      </c>
      <c r="R15" s="28" t="str">
        <f t="shared" si="1"/>
        <v>Friday</v>
      </c>
      <c r="S15" s="7"/>
      <c r="T15" s="7"/>
      <c r="U15" s="7"/>
      <c r="V15" s="7"/>
      <c r="W15" s="7"/>
      <c r="X15" s="7"/>
      <c r="Y15" s="43"/>
      <c r="Z15" s="7"/>
      <c r="AA15" s="7"/>
      <c r="AB15" s="7"/>
      <c r="AC15" s="7"/>
      <c r="AD15" s="38"/>
    </row>
    <row r="16" spans="1:30" ht="30" hidden="1" customHeight="1" x14ac:dyDescent="0.2">
      <c r="A16" s="3">
        <v>46039</v>
      </c>
      <c r="B16" s="28" t="str">
        <f t="shared" si="0"/>
        <v>Saturday</v>
      </c>
      <c r="C16" s="7"/>
      <c r="D16" s="7"/>
      <c r="E16" s="7"/>
      <c r="F16" s="7"/>
      <c r="G16" s="7"/>
      <c r="H16" s="7"/>
      <c r="I16" s="43"/>
      <c r="J16" s="7"/>
      <c r="K16" s="7"/>
      <c r="L16" s="7"/>
      <c r="M16" s="7"/>
      <c r="N16" s="38"/>
      <c r="O16" s="1">
        <v>10</v>
      </c>
      <c r="Q16" s="3">
        <v>46039</v>
      </c>
      <c r="R16" s="28" t="str">
        <f t="shared" si="1"/>
        <v>Saturday</v>
      </c>
      <c r="S16" s="7"/>
      <c r="T16" s="7"/>
      <c r="U16" s="7"/>
      <c r="V16" s="7"/>
      <c r="W16" s="7"/>
      <c r="X16" s="7"/>
      <c r="Y16" s="43"/>
      <c r="Z16" s="7"/>
      <c r="AA16" s="7"/>
      <c r="AB16" s="7"/>
      <c r="AC16" s="7"/>
      <c r="AD16" s="38"/>
    </row>
    <row r="17" spans="1:30" ht="30" hidden="1" customHeight="1" x14ac:dyDescent="0.2">
      <c r="A17" s="3">
        <v>46040</v>
      </c>
      <c r="B17" s="28" t="str">
        <f t="shared" si="0"/>
        <v>Sunday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Q17" s="3">
        <v>46040</v>
      </c>
      <c r="R17" s="28" t="str">
        <f t="shared" si="1"/>
        <v>Sunday</v>
      </c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spans="1:30" ht="30" hidden="1" customHeight="1" x14ac:dyDescent="0.2">
      <c r="A18" s="3">
        <v>46041</v>
      </c>
      <c r="B18" s="28" t="str">
        <f t="shared" si="0"/>
        <v>Monday</v>
      </c>
      <c r="C18" s="7"/>
      <c r="D18" s="7"/>
      <c r="E18" s="7"/>
      <c r="F18" s="7"/>
      <c r="G18" s="34"/>
      <c r="H18" s="7"/>
      <c r="I18" s="7"/>
      <c r="J18" s="7"/>
      <c r="K18" s="7"/>
      <c r="L18" s="7"/>
      <c r="M18" s="7"/>
      <c r="N18" s="38"/>
      <c r="O18" s="1">
        <v>11</v>
      </c>
      <c r="Q18" s="3">
        <v>46041</v>
      </c>
      <c r="R18" s="28" t="str">
        <f t="shared" si="1"/>
        <v>Monday</v>
      </c>
      <c r="S18" s="7"/>
      <c r="T18" s="7"/>
      <c r="U18" s="7"/>
      <c r="V18" s="7"/>
      <c r="W18" s="34"/>
      <c r="X18" s="7"/>
      <c r="Y18" s="7"/>
      <c r="Z18" s="7"/>
      <c r="AA18" s="7"/>
      <c r="AB18" s="7"/>
      <c r="AC18" s="7"/>
      <c r="AD18" s="38"/>
    </row>
    <row r="19" spans="1:30" ht="30" hidden="1" customHeight="1" x14ac:dyDescent="0.2">
      <c r="A19" s="3">
        <v>46042</v>
      </c>
      <c r="B19" s="28" t="str">
        <f t="shared" si="0"/>
        <v>Tuesday</v>
      </c>
      <c r="C19" s="7"/>
      <c r="D19" s="7"/>
      <c r="E19" s="7"/>
      <c r="F19" s="7"/>
      <c r="G19" s="34"/>
      <c r="H19" s="7"/>
      <c r="I19" s="7"/>
      <c r="J19" s="7"/>
      <c r="K19" s="7"/>
      <c r="L19" s="7"/>
      <c r="M19" s="7"/>
      <c r="N19" s="38"/>
      <c r="O19" s="1">
        <v>12</v>
      </c>
      <c r="Q19" s="3">
        <v>46042</v>
      </c>
      <c r="R19" s="28" t="str">
        <f t="shared" si="1"/>
        <v>Tuesday</v>
      </c>
      <c r="S19" s="7"/>
      <c r="T19" s="7"/>
      <c r="U19" s="7"/>
      <c r="V19" s="7"/>
      <c r="W19" s="34"/>
      <c r="X19" s="7"/>
      <c r="Y19" s="7"/>
      <c r="Z19" s="7"/>
      <c r="AA19" s="7"/>
      <c r="AB19" s="7"/>
      <c r="AC19" s="7"/>
      <c r="AD19" s="38"/>
    </row>
    <row r="20" spans="1:30" ht="30" hidden="1" customHeight="1" x14ac:dyDescent="0.2">
      <c r="A20" s="3">
        <v>46043</v>
      </c>
      <c r="B20" s="28" t="str">
        <f t="shared" si="0"/>
        <v>Wednesday</v>
      </c>
      <c r="C20" s="7"/>
      <c r="D20" s="7"/>
      <c r="E20" s="7"/>
      <c r="F20" s="7"/>
      <c r="G20" s="34"/>
      <c r="H20" s="7"/>
      <c r="I20" s="7"/>
      <c r="J20" s="7"/>
      <c r="K20" s="7"/>
      <c r="L20" s="7"/>
      <c r="M20" s="7"/>
      <c r="N20" s="38"/>
      <c r="O20" s="24">
        <v>13</v>
      </c>
      <c r="P20" s="24"/>
      <c r="Q20" s="3">
        <v>46043</v>
      </c>
      <c r="R20" s="28" t="str">
        <f t="shared" si="1"/>
        <v>Wednesday</v>
      </c>
      <c r="S20" s="7"/>
      <c r="T20" s="7"/>
      <c r="U20" s="7"/>
      <c r="V20" s="7"/>
      <c r="W20" s="34"/>
      <c r="X20" s="7"/>
      <c r="Y20" s="7"/>
      <c r="Z20" s="7"/>
      <c r="AA20" s="7"/>
      <c r="AB20" s="7"/>
      <c r="AC20" s="7"/>
      <c r="AD20" s="38"/>
    </row>
    <row r="21" spans="1:30" ht="30" hidden="1" customHeight="1" x14ac:dyDescent="0.2">
      <c r="A21" s="3">
        <v>46044</v>
      </c>
      <c r="B21" s="28" t="str">
        <f t="shared" si="0"/>
        <v>Thursday</v>
      </c>
      <c r="C21" s="7"/>
      <c r="D21" s="7"/>
      <c r="E21" s="7"/>
      <c r="F21" s="7"/>
      <c r="G21" s="34"/>
      <c r="H21" s="7"/>
      <c r="I21" s="7"/>
      <c r="J21" s="7"/>
      <c r="K21" s="7"/>
      <c r="L21" s="7"/>
      <c r="M21" s="7"/>
      <c r="N21" s="38"/>
      <c r="O21" s="24">
        <v>14</v>
      </c>
      <c r="P21" s="24"/>
      <c r="Q21" s="3">
        <v>46044</v>
      </c>
      <c r="R21" s="28" t="str">
        <f t="shared" si="1"/>
        <v>Thursday</v>
      </c>
      <c r="S21" s="7"/>
      <c r="T21" s="7"/>
      <c r="U21" s="7"/>
      <c r="V21" s="7"/>
      <c r="W21" s="34"/>
      <c r="X21" s="7"/>
      <c r="Y21" s="7"/>
      <c r="Z21" s="7"/>
      <c r="AA21" s="7"/>
      <c r="AB21" s="7"/>
      <c r="AC21" s="7"/>
      <c r="AD21" s="38"/>
    </row>
    <row r="22" spans="1:30" ht="30" hidden="1" customHeight="1" x14ac:dyDescent="0.2">
      <c r="A22" s="3">
        <v>46045</v>
      </c>
      <c r="B22" s="28" t="str">
        <f t="shared" si="0"/>
        <v>Friday</v>
      </c>
      <c r="C22" s="7"/>
      <c r="D22" s="7"/>
      <c r="E22" s="7"/>
      <c r="F22" s="7"/>
      <c r="G22" s="34"/>
      <c r="H22" s="7"/>
      <c r="I22" s="7"/>
      <c r="J22" s="7"/>
      <c r="K22" s="7"/>
      <c r="L22" s="7"/>
      <c r="M22" s="7"/>
      <c r="N22" s="38"/>
      <c r="O22" s="1">
        <v>15</v>
      </c>
      <c r="Q22" s="3">
        <v>46045</v>
      </c>
      <c r="R22" s="28" t="str">
        <f t="shared" si="1"/>
        <v>Friday</v>
      </c>
      <c r="S22" s="7"/>
      <c r="T22" s="7"/>
      <c r="U22" s="7"/>
      <c r="V22" s="7"/>
      <c r="W22" s="34"/>
      <c r="X22" s="7"/>
      <c r="Y22" s="7"/>
      <c r="Z22" s="7"/>
      <c r="AA22" s="7"/>
      <c r="AB22" s="7"/>
      <c r="AC22" s="7"/>
      <c r="AD22" s="38"/>
    </row>
    <row r="23" spans="1:30" ht="30" hidden="1" customHeight="1" x14ac:dyDescent="0.2">
      <c r="A23" s="3">
        <v>46046</v>
      </c>
      <c r="B23" s="28" t="str">
        <f t="shared" si="0"/>
        <v>Saturday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Q23" s="3">
        <v>46046</v>
      </c>
      <c r="R23" s="28" t="str">
        <f t="shared" si="1"/>
        <v>Saturday</v>
      </c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spans="1:30" ht="30" hidden="1" customHeight="1" x14ac:dyDescent="0.2">
      <c r="A24" s="3">
        <v>46047</v>
      </c>
      <c r="B24" s="28" t="str">
        <f t="shared" si="0"/>
        <v>Sunday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Q24" s="3">
        <v>46047</v>
      </c>
      <c r="R24" s="28" t="str">
        <f t="shared" si="1"/>
        <v>Sunday</v>
      </c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spans="1:30" ht="30" hidden="1" customHeight="1" x14ac:dyDescent="0.2">
      <c r="A25" s="3">
        <v>46048</v>
      </c>
      <c r="B25" s="28" t="str">
        <f t="shared" si="0"/>
        <v>Monday</v>
      </c>
      <c r="C25" s="62" t="s">
        <v>143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4"/>
      <c r="Q25" s="3">
        <v>46048</v>
      </c>
      <c r="R25" s="28" t="str">
        <f t="shared" si="1"/>
        <v>Monday</v>
      </c>
      <c r="S25" s="62" t="s">
        <v>143</v>
      </c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4"/>
    </row>
    <row r="26" spans="1:30" ht="30" hidden="1" customHeight="1" x14ac:dyDescent="0.2">
      <c r="A26" s="3">
        <v>46049</v>
      </c>
      <c r="B26" s="28" t="str">
        <f t="shared" si="0"/>
        <v>Tuesday</v>
      </c>
      <c r="C26" s="7"/>
      <c r="D26" s="7"/>
      <c r="E26" s="7"/>
      <c r="F26" s="7"/>
      <c r="G26" s="34"/>
      <c r="H26" s="7"/>
      <c r="I26" s="7"/>
      <c r="J26" s="7"/>
      <c r="K26" s="7"/>
      <c r="L26" s="7"/>
      <c r="M26" s="7"/>
      <c r="N26" s="38"/>
      <c r="O26" s="1">
        <v>16</v>
      </c>
      <c r="Q26" s="3">
        <v>46049</v>
      </c>
      <c r="R26" s="28" t="str">
        <f t="shared" si="1"/>
        <v>Tuesday</v>
      </c>
      <c r="S26" s="7"/>
      <c r="T26" s="7"/>
      <c r="U26" s="7"/>
      <c r="V26" s="7"/>
      <c r="W26" s="34"/>
      <c r="X26" s="7"/>
      <c r="Y26" s="7"/>
      <c r="Z26" s="7"/>
      <c r="AA26" s="7"/>
      <c r="AB26" s="7"/>
      <c r="AC26" s="7"/>
      <c r="AD26" s="38"/>
    </row>
    <row r="27" spans="1:30" ht="30" hidden="1" customHeight="1" x14ac:dyDescent="0.2">
      <c r="A27" s="3">
        <v>46050</v>
      </c>
      <c r="B27" s="28" t="str">
        <f t="shared" si="0"/>
        <v>Wednesday</v>
      </c>
      <c r="C27" s="7"/>
      <c r="D27" s="7"/>
      <c r="E27" s="7"/>
      <c r="F27" s="7"/>
      <c r="G27" s="34"/>
      <c r="H27" s="7"/>
      <c r="I27" s="7"/>
      <c r="J27" s="7"/>
      <c r="K27" s="7"/>
      <c r="L27" s="7"/>
      <c r="M27" s="7"/>
      <c r="N27" s="38"/>
      <c r="O27" s="9">
        <v>17</v>
      </c>
      <c r="P27" s="9"/>
      <c r="Q27" s="3">
        <v>46050</v>
      </c>
      <c r="R27" s="28" t="str">
        <f t="shared" si="1"/>
        <v>Wednesday</v>
      </c>
      <c r="S27" s="7"/>
      <c r="T27" s="7"/>
      <c r="U27" s="7"/>
      <c r="V27" s="7"/>
      <c r="W27" s="34"/>
      <c r="X27" s="7"/>
      <c r="Y27" s="7"/>
      <c r="Z27" s="7"/>
      <c r="AA27" s="7"/>
      <c r="AB27" s="7"/>
      <c r="AC27" s="7"/>
      <c r="AD27" s="38"/>
    </row>
    <row r="28" spans="1:30" ht="30" hidden="1" customHeight="1" x14ac:dyDescent="0.2">
      <c r="A28" s="3">
        <v>46051</v>
      </c>
      <c r="B28" s="28" t="str">
        <f t="shared" si="0"/>
        <v>Thursday</v>
      </c>
      <c r="C28" s="7"/>
      <c r="D28" s="7"/>
      <c r="E28" s="7"/>
      <c r="F28" s="7"/>
      <c r="G28" s="34"/>
      <c r="H28" s="7"/>
      <c r="I28" s="7"/>
      <c r="J28" s="7"/>
      <c r="K28" s="7"/>
      <c r="L28" s="7"/>
      <c r="M28" s="7"/>
      <c r="N28" s="38"/>
      <c r="O28" s="9">
        <v>18</v>
      </c>
      <c r="P28" s="9"/>
      <c r="Q28" s="3">
        <v>46051</v>
      </c>
      <c r="R28" s="28" t="str">
        <f t="shared" si="1"/>
        <v>Thursday</v>
      </c>
      <c r="S28" s="7"/>
      <c r="T28" s="7"/>
      <c r="U28" s="7"/>
      <c r="V28" s="7"/>
      <c r="W28" s="34"/>
      <c r="X28" s="7"/>
      <c r="Y28" s="7"/>
      <c r="Z28" s="7"/>
      <c r="AA28" s="7"/>
      <c r="AB28" s="7"/>
      <c r="AC28" s="7"/>
      <c r="AD28" s="38"/>
    </row>
    <row r="29" spans="1:30" ht="30" hidden="1" customHeight="1" x14ac:dyDescent="0.2">
      <c r="A29" s="3">
        <v>46052</v>
      </c>
      <c r="B29" s="28" t="str">
        <f t="shared" si="0"/>
        <v>Friday</v>
      </c>
      <c r="C29" s="7"/>
      <c r="D29" s="7"/>
      <c r="E29" s="7"/>
      <c r="F29" s="7"/>
      <c r="G29" s="34"/>
      <c r="H29" s="7"/>
      <c r="I29" s="7"/>
      <c r="J29" s="7"/>
      <c r="K29" s="7"/>
      <c r="L29" s="7"/>
      <c r="M29" s="7"/>
      <c r="N29" s="38"/>
      <c r="O29" s="1">
        <v>19</v>
      </c>
      <c r="Q29" s="3">
        <v>46052</v>
      </c>
      <c r="R29" s="28" t="str">
        <f t="shared" si="1"/>
        <v>Friday</v>
      </c>
      <c r="S29" s="7"/>
      <c r="T29" s="7"/>
      <c r="U29" s="7"/>
      <c r="V29" s="7"/>
      <c r="W29" s="34"/>
      <c r="X29" s="7"/>
      <c r="Y29" s="7"/>
      <c r="Z29" s="7"/>
      <c r="AA29" s="7"/>
      <c r="AB29" s="7"/>
      <c r="AC29" s="7"/>
      <c r="AD29" s="38"/>
    </row>
    <row r="30" spans="1:30" ht="30" hidden="1" customHeight="1" x14ac:dyDescent="0.2">
      <c r="A30" s="3">
        <v>46053</v>
      </c>
      <c r="B30" s="28" t="str">
        <f t="shared" si="0"/>
        <v>Saturday</v>
      </c>
      <c r="C30" s="7"/>
      <c r="D30" s="7"/>
      <c r="E30" s="7"/>
      <c r="F30" s="7"/>
      <c r="G30" s="34"/>
      <c r="H30" s="7"/>
      <c r="I30" s="7"/>
      <c r="J30" s="7"/>
      <c r="K30" s="7"/>
      <c r="L30" s="7"/>
      <c r="M30" s="7"/>
      <c r="N30" s="38"/>
      <c r="O30" s="1">
        <v>20</v>
      </c>
      <c r="Q30" s="3">
        <v>46053</v>
      </c>
      <c r="R30" s="28" t="str">
        <f t="shared" si="1"/>
        <v>Saturday</v>
      </c>
      <c r="S30" s="7"/>
      <c r="T30" s="7"/>
      <c r="U30" s="7"/>
      <c r="V30" s="7"/>
      <c r="W30" s="34"/>
      <c r="X30" s="7"/>
      <c r="Y30" s="7"/>
      <c r="Z30" s="7"/>
      <c r="AA30" s="7"/>
      <c r="AB30" s="7"/>
      <c r="AC30" s="7"/>
      <c r="AD30" s="38"/>
    </row>
    <row r="31" spans="1:30" ht="30" hidden="1" customHeight="1" x14ac:dyDescent="0.2">
      <c r="A31" s="3">
        <v>46054</v>
      </c>
      <c r="B31" s="28" t="str">
        <f t="shared" si="0"/>
        <v>Sunday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Q31" s="3">
        <v>46054</v>
      </c>
      <c r="R31" s="28" t="str">
        <f t="shared" si="1"/>
        <v>Sunday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spans="1:30" ht="30" hidden="1" customHeight="1" x14ac:dyDescent="0.2">
      <c r="A32" s="3">
        <v>46055</v>
      </c>
      <c r="B32" s="28" t="str">
        <f t="shared" si="0"/>
        <v>Monday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1">
        <v>21</v>
      </c>
      <c r="Q32" s="3">
        <v>46055</v>
      </c>
      <c r="R32" s="28" t="str">
        <f t="shared" si="1"/>
        <v>Monday</v>
      </c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</row>
    <row r="33" spans="1:30" ht="30" hidden="1" customHeight="1" x14ac:dyDescent="0.2">
      <c r="A33" s="3">
        <v>46056</v>
      </c>
      <c r="B33" s="28" t="str">
        <f t="shared" si="0"/>
        <v>Tuesday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1">
        <v>22</v>
      </c>
      <c r="Q33" s="3">
        <v>46056</v>
      </c>
      <c r="R33" s="28" t="str">
        <f t="shared" si="1"/>
        <v>Tuesday</v>
      </c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</row>
    <row r="34" spans="1:30" ht="30" hidden="1" customHeight="1" x14ac:dyDescent="0.2">
      <c r="A34" s="3">
        <v>46057</v>
      </c>
      <c r="B34" s="28" t="str">
        <f t="shared" si="0"/>
        <v>Wednesday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1">
        <v>23</v>
      </c>
      <c r="Q34" s="3">
        <v>46057</v>
      </c>
      <c r="R34" s="28" t="str">
        <f t="shared" si="1"/>
        <v>Wednesday</v>
      </c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</row>
    <row r="35" spans="1:30" ht="30" hidden="1" customHeight="1" x14ac:dyDescent="0.2">
      <c r="A35" s="3">
        <v>46058</v>
      </c>
      <c r="B35" s="28" t="str">
        <f t="shared" si="0"/>
        <v>Thursday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1">
        <v>24</v>
      </c>
      <c r="Q35" s="3">
        <v>46058</v>
      </c>
      <c r="R35" s="28" t="str">
        <f t="shared" si="1"/>
        <v>Thursday</v>
      </c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</row>
    <row r="36" spans="1:30" ht="30" hidden="1" customHeight="1" x14ac:dyDescent="0.2">
      <c r="A36" s="3">
        <v>46059</v>
      </c>
      <c r="B36" s="28" t="str">
        <f t="shared" si="0"/>
        <v>Friday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1">
        <v>25</v>
      </c>
      <c r="Q36" s="3">
        <v>46059</v>
      </c>
      <c r="R36" s="28" t="str">
        <f t="shared" si="1"/>
        <v>Friday</v>
      </c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</row>
    <row r="37" spans="1:30" ht="30" hidden="1" customHeight="1" x14ac:dyDescent="0.2">
      <c r="A37" s="3">
        <v>46060</v>
      </c>
      <c r="B37" s="28" t="str">
        <f t="shared" si="0"/>
        <v>Saturday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1">
        <v>26</v>
      </c>
      <c r="Q37" s="3">
        <v>46060</v>
      </c>
      <c r="R37" s="28" t="str">
        <f t="shared" si="1"/>
        <v>Saturday</v>
      </c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</row>
    <row r="38" spans="1:30" ht="30" hidden="1" customHeight="1" x14ac:dyDescent="0.2">
      <c r="A38" s="3">
        <v>46061</v>
      </c>
      <c r="B38" s="28" t="str">
        <f t="shared" si="0"/>
        <v>Sunday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Q38" s="3">
        <v>46061</v>
      </c>
      <c r="R38" s="28" t="str">
        <f t="shared" si="1"/>
        <v>Sunday</v>
      </c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spans="1:30" ht="30" hidden="1" customHeight="1" x14ac:dyDescent="0.2">
      <c r="A39" s="3">
        <v>46062</v>
      </c>
      <c r="B39" s="28" t="str">
        <f t="shared" si="0"/>
        <v>Monday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1">
        <v>27</v>
      </c>
      <c r="Q39" s="3">
        <v>46062</v>
      </c>
      <c r="R39" s="28" t="str">
        <f t="shared" si="1"/>
        <v>Monday</v>
      </c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</row>
    <row r="40" spans="1:30" ht="30" hidden="1" customHeight="1" x14ac:dyDescent="0.2">
      <c r="A40" s="3">
        <v>46063</v>
      </c>
      <c r="B40" s="28" t="str">
        <f t="shared" si="0"/>
        <v>Tuesday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1">
        <v>28</v>
      </c>
      <c r="Q40" s="3">
        <v>46063</v>
      </c>
      <c r="R40" s="28" t="str">
        <f t="shared" si="1"/>
        <v>Tuesday</v>
      </c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</row>
    <row r="41" spans="1:30" ht="30" hidden="1" customHeight="1" x14ac:dyDescent="0.2">
      <c r="A41" s="3">
        <v>46064</v>
      </c>
      <c r="B41" s="28" t="str">
        <f t="shared" si="0"/>
        <v>Wednesday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1">
        <v>29</v>
      </c>
      <c r="Q41" s="3">
        <v>46064</v>
      </c>
      <c r="R41" s="28" t="str">
        <f t="shared" si="1"/>
        <v>Wednesday</v>
      </c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</row>
    <row r="42" spans="1:30" ht="30" hidden="1" customHeight="1" x14ac:dyDescent="0.2">
      <c r="A42" s="3">
        <v>46065</v>
      </c>
      <c r="B42" s="28" t="str">
        <f t="shared" si="0"/>
        <v>Thursday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1">
        <v>30</v>
      </c>
      <c r="Q42" s="3">
        <v>46065</v>
      </c>
      <c r="R42" s="28" t="str">
        <f t="shared" si="1"/>
        <v>Thursday</v>
      </c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</row>
    <row r="43" spans="1:30" ht="30" hidden="1" customHeight="1" x14ac:dyDescent="0.2">
      <c r="A43" s="3">
        <v>46066</v>
      </c>
      <c r="B43" s="28" t="str">
        <f t="shared" si="0"/>
        <v>Friday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1">
        <v>31</v>
      </c>
      <c r="Q43" s="3">
        <v>46066</v>
      </c>
      <c r="R43" s="28" t="str">
        <f t="shared" si="1"/>
        <v>Friday</v>
      </c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</row>
    <row r="44" spans="1:30" ht="30" hidden="1" customHeight="1" x14ac:dyDescent="0.2">
      <c r="A44" s="3">
        <v>46067</v>
      </c>
      <c r="B44" s="28" t="str">
        <f t="shared" si="0"/>
        <v>Saturday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Q44" s="3">
        <v>46067</v>
      </c>
      <c r="R44" s="28" t="str">
        <f t="shared" si="1"/>
        <v>Saturday</v>
      </c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spans="1:30" ht="30" hidden="1" customHeight="1" x14ac:dyDescent="0.2">
      <c r="A45" s="3">
        <v>46068</v>
      </c>
      <c r="B45" s="28" t="str">
        <f t="shared" si="0"/>
        <v>Sunday</v>
      </c>
      <c r="C45" s="62" t="s">
        <v>144</v>
      </c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4"/>
      <c r="Q45" s="3">
        <v>46068</v>
      </c>
      <c r="R45" s="28" t="str">
        <f t="shared" si="1"/>
        <v>Sunday</v>
      </c>
      <c r="S45" s="62" t="s">
        <v>144</v>
      </c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4"/>
    </row>
    <row r="46" spans="1:30" ht="30" hidden="1" customHeight="1" x14ac:dyDescent="0.2">
      <c r="A46" s="3">
        <v>46069</v>
      </c>
      <c r="B46" s="28" t="str">
        <f t="shared" si="0"/>
        <v>Monday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1">
        <v>32</v>
      </c>
      <c r="Q46" s="3">
        <v>46069</v>
      </c>
      <c r="R46" s="28" t="str">
        <f t="shared" si="1"/>
        <v>Monday</v>
      </c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</row>
    <row r="47" spans="1:30" ht="30" hidden="1" customHeight="1" x14ac:dyDescent="0.2">
      <c r="A47" s="3">
        <v>46070</v>
      </c>
      <c r="B47" s="28" t="str">
        <f t="shared" si="0"/>
        <v>Tuesday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1">
        <v>33</v>
      </c>
      <c r="Q47" s="3">
        <v>46070</v>
      </c>
      <c r="R47" s="28" t="str">
        <f t="shared" si="1"/>
        <v>Tuesday</v>
      </c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</row>
    <row r="48" spans="1:30" ht="30" hidden="1" customHeight="1" x14ac:dyDescent="0.2">
      <c r="A48" s="3">
        <v>46071</v>
      </c>
      <c r="B48" s="28" t="str">
        <f t="shared" si="0"/>
        <v>Wednesday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1">
        <v>64</v>
      </c>
      <c r="Q48" s="3">
        <v>46071</v>
      </c>
      <c r="R48" s="28" t="str">
        <f t="shared" si="1"/>
        <v>Wednesday</v>
      </c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</row>
    <row r="49" spans="1:30" ht="30" hidden="1" customHeight="1" x14ac:dyDescent="0.2">
      <c r="A49" s="3">
        <v>46072</v>
      </c>
      <c r="B49" s="28" t="str">
        <f t="shared" si="0"/>
        <v>Thursday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1">
        <v>65</v>
      </c>
      <c r="Q49" s="3">
        <v>46072</v>
      </c>
      <c r="R49" s="28" t="str">
        <f t="shared" si="1"/>
        <v>Thursday</v>
      </c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</row>
    <row r="50" spans="1:30" ht="30" hidden="1" customHeight="1" x14ac:dyDescent="0.2">
      <c r="A50" s="3">
        <v>46073</v>
      </c>
      <c r="B50" s="28" t="str">
        <f t="shared" si="0"/>
        <v>Friday</v>
      </c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23">
        <v>36</v>
      </c>
      <c r="P50" s="23"/>
      <c r="Q50" s="3">
        <v>46073</v>
      </c>
      <c r="R50" s="28" t="str">
        <f t="shared" si="1"/>
        <v>Friday</v>
      </c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</row>
    <row r="51" spans="1:30" ht="30" hidden="1" customHeight="1" x14ac:dyDescent="0.2">
      <c r="A51" s="3">
        <v>46074</v>
      </c>
      <c r="B51" s="28" t="str">
        <f t="shared" si="0"/>
        <v>Saturday</v>
      </c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23">
        <v>37</v>
      </c>
      <c r="P51" s="23"/>
      <c r="Q51" s="3">
        <v>46074</v>
      </c>
      <c r="R51" s="28" t="str">
        <f t="shared" si="1"/>
        <v>Saturday</v>
      </c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</row>
    <row r="52" spans="1:30" ht="30" hidden="1" customHeight="1" x14ac:dyDescent="0.2">
      <c r="A52" s="3">
        <v>46075</v>
      </c>
      <c r="B52" s="28" t="str">
        <f t="shared" si="0"/>
        <v>Sunday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Q52" s="3">
        <v>46075</v>
      </c>
      <c r="R52" s="28" t="str">
        <f t="shared" si="1"/>
        <v>Sunday</v>
      </c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spans="1:30" ht="30" hidden="1" customHeight="1" x14ac:dyDescent="0.2">
      <c r="A53" s="3">
        <v>46076</v>
      </c>
      <c r="B53" s="28" t="str">
        <f t="shared" si="0"/>
        <v>Monday</v>
      </c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1">
        <v>38</v>
      </c>
      <c r="Q53" s="3">
        <v>46076</v>
      </c>
      <c r="R53" s="28" t="str">
        <f t="shared" si="1"/>
        <v>Monday</v>
      </c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</row>
    <row r="54" spans="1:30" ht="30" hidden="1" customHeight="1" x14ac:dyDescent="0.2">
      <c r="A54" s="3">
        <v>46077</v>
      </c>
      <c r="B54" s="28" t="str">
        <f t="shared" si="0"/>
        <v>Tuesday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1">
        <v>39</v>
      </c>
      <c r="Q54" s="3">
        <v>46077</v>
      </c>
      <c r="R54" s="28" t="str">
        <f t="shared" si="1"/>
        <v>Tuesday</v>
      </c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</row>
    <row r="55" spans="1:30" ht="30" hidden="1" customHeight="1" x14ac:dyDescent="0.2">
      <c r="A55" s="3">
        <v>46078</v>
      </c>
      <c r="B55" s="28" t="str">
        <f t="shared" si="0"/>
        <v>Wednesday</v>
      </c>
      <c r="C55" s="7"/>
      <c r="D55" s="7"/>
      <c r="E55" s="7"/>
      <c r="F55" s="7"/>
      <c r="G55" s="34"/>
      <c r="H55" s="7"/>
      <c r="I55" s="7"/>
      <c r="J55" s="7"/>
      <c r="K55" s="7"/>
      <c r="L55" s="7"/>
      <c r="M55" s="7"/>
      <c r="N55" s="38"/>
      <c r="O55" s="1">
        <v>40</v>
      </c>
      <c r="Q55" s="3">
        <v>46078</v>
      </c>
      <c r="R55" s="28" t="str">
        <f t="shared" si="1"/>
        <v>Wednesday</v>
      </c>
      <c r="S55" s="7"/>
      <c r="T55" s="7"/>
      <c r="U55" s="7"/>
      <c r="V55" s="7"/>
      <c r="W55" s="34"/>
      <c r="X55" s="7"/>
      <c r="Y55" s="7"/>
      <c r="Z55" s="7"/>
      <c r="AA55" s="7"/>
      <c r="AB55" s="7"/>
      <c r="AC55" s="7"/>
      <c r="AD55" s="38"/>
    </row>
    <row r="56" spans="1:30" ht="30" hidden="1" customHeight="1" x14ac:dyDescent="0.2">
      <c r="A56" s="3">
        <v>46079</v>
      </c>
      <c r="B56" s="28" t="str">
        <f t="shared" si="0"/>
        <v>Thursday</v>
      </c>
      <c r="C56" s="7"/>
      <c r="D56" s="7"/>
      <c r="E56" s="7"/>
      <c r="F56" s="7"/>
      <c r="G56" s="34"/>
      <c r="H56" s="7"/>
      <c r="I56" s="7"/>
      <c r="J56" s="7"/>
      <c r="K56" s="7"/>
      <c r="L56" s="7"/>
      <c r="M56" s="7"/>
      <c r="N56" s="38"/>
      <c r="O56" s="1">
        <v>41</v>
      </c>
      <c r="Q56" s="3">
        <v>46079</v>
      </c>
      <c r="R56" s="28" t="str">
        <f t="shared" si="1"/>
        <v>Thursday</v>
      </c>
      <c r="S56" s="7"/>
      <c r="T56" s="7"/>
      <c r="U56" s="7"/>
      <c r="V56" s="7"/>
      <c r="W56" s="34"/>
      <c r="X56" s="7"/>
      <c r="Y56" s="7"/>
      <c r="Z56" s="7"/>
      <c r="AA56" s="7"/>
      <c r="AB56" s="7"/>
      <c r="AC56" s="7"/>
      <c r="AD56" s="38"/>
    </row>
    <row r="57" spans="1:30" ht="30" hidden="1" customHeight="1" x14ac:dyDescent="0.2">
      <c r="A57" s="3">
        <v>46080</v>
      </c>
      <c r="B57" s="28" t="str">
        <f t="shared" si="0"/>
        <v>Friday</v>
      </c>
      <c r="C57" s="7"/>
      <c r="D57" s="7"/>
      <c r="E57" s="7"/>
      <c r="F57" s="7"/>
      <c r="G57" s="34"/>
      <c r="H57" s="7"/>
      <c r="I57" s="7"/>
      <c r="J57" s="7"/>
      <c r="K57" s="7"/>
      <c r="L57" s="7"/>
      <c r="M57" s="7"/>
      <c r="N57" s="38"/>
      <c r="O57" s="1">
        <v>42</v>
      </c>
      <c r="Q57" s="3">
        <v>46080</v>
      </c>
      <c r="R57" s="28" t="str">
        <f t="shared" si="1"/>
        <v>Friday</v>
      </c>
      <c r="S57" s="7"/>
      <c r="T57" s="7"/>
      <c r="U57" s="7"/>
      <c r="V57" s="7"/>
      <c r="W57" s="34"/>
      <c r="X57" s="7"/>
      <c r="Y57" s="7"/>
      <c r="Z57" s="7"/>
      <c r="AA57" s="7"/>
      <c r="AB57" s="7"/>
      <c r="AC57" s="7"/>
      <c r="AD57" s="38"/>
    </row>
    <row r="58" spans="1:30" ht="30" hidden="1" customHeight="1" x14ac:dyDescent="0.2">
      <c r="A58" s="3">
        <v>46081</v>
      </c>
      <c r="B58" s="28" t="str">
        <f t="shared" si="0"/>
        <v>Saturday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23"/>
      <c r="P58" s="23"/>
      <c r="Q58" s="3">
        <v>46081</v>
      </c>
      <c r="R58" s="28" t="str">
        <f t="shared" si="1"/>
        <v>Saturday</v>
      </c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</row>
    <row r="59" spans="1:30" ht="30" hidden="1" customHeight="1" x14ac:dyDescent="0.2">
      <c r="A59" s="3">
        <v>46082</v>
      </c>
      <c r="B59" s="28" t="str">
        <f t="shared" si="0"/>
        <v>Sunday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Q59" s="3">
        <v>46082</v>
      </c>
      <c r="R59" s="28" t="str">
        <f t="shared" si="1"/>
        <v>Sunday</v>
      </c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</row>
    <row r="60" spans="1:30" ht="30" hidden="1" customHeight="1" x14ac:dyDescent="0.2">
      <c r="A60" s="3">
        <v>46083</v>
      </c>
      <c r="B60" s="28" t="str">
        <f t="shared" si="0"/>
        <v>Monday</v>
      </c>
      <c r="C60" s="7"/>
      <c r="D60" s="7"/>
      <c r="E60" s="7"/>
      <c r="F60" s="7"/>
      <c r="G60" s="34"/>
      <c r="H60" s="7"/>
      <c r="I60" s="7"/>
      <c r="J60" s="7"/>
      <c r="K60" s="7"/>
      <c r="L60" s="7"/>
      <c r="M60" s="7"/>
      <c r="N60" s="38"/>
      <c r="O60" s="1">
        <v>43</v>
      </c>
      <c r="Q60" s="3">
        <v>46083</v>
      </c>
      <c r="R60" s="28" t="str">
        <f t="shared" si="1"/>
        <v>Monday</v>
      </c>
      <c r="S60" s="7"/>
      <c r="T60" s="7"/>
      <c r="U60" s="7"/>
      <c r="V60" s="7"/>
      <c r="W60" s="34"/>
      <c r="X60" s="7"/>
      <c r="Y60" s="7"/>
      <c r="Z60" s="7"/>
      <c r="AA60" s="7"/>
      <c r="AB60" s="7"/>
      <c r="AC60" s="7"/>
      <c r="AD60" s="38"/>
    </row>
    <row r="61" spans="1:30" ht="30" hidden="1" customHeight="1" x14ac:dyDescent="0.2">
      <c r="A61" s="3">
        <v>46084</v>
      </c>
      <c r="B61" s="28" t="str">
        <f t="shared" si="0"/>
        <v>Tuesday</v>
      </c>
      <c r="C61" s="7"/>
      <c r="D61" s="7"/>
      <c r="E61" s="7"/>
      <c r="F61" s="7"/>
      <c r="G61" s="34"/>
      <c r="H61" s="7"/>
      <c r="I61" s="7"/>
      <c r="J61" s="7"/>
      <c r="K61" s="7"/>
      <c r="L61" s="7"/>
      <c r="M61" s="7"/>
      <c r="N61" s="38"/>
      <c r="O61" s="1">
        <v>44</v>
      </c>
      <c r="Q61" s="3">
        <v>46084</v>
      </c>
      <c r="R61" s="28" t="str">
        <f t="shared" si="1"/>
        <v>Tuesday</v>
      </c>
      <c r="S61" s="7"/>
      <c r="T61" s="7"/>
      <c r="U61" s="7"/>
      <c r="V61" s="7"/>
      <c r="W61" s="34"/>
      <c r="X61" s="7"/>
      <c r="Y61" s="7"/>
      <c r="Z61" s="7"/>
      <c r="AA61" s="7"/>
      <c r="AB61" s="7"/>
      <c r="AC61" s="7"/>
      <c r="AD61" s="38"/>
    </row>
    <row r="62" spans="1:30" ht="30" hidden="1" customHeight="1" x14ac:dyDescent="0.2">
      <c r="A62" s="3">
        <v>46085</v>
      </c>
      <c r="B62" s="28" t="str">
        <f t="shared" si="0"/>
        <v>Wednesday</v>
      </c>
      <c r="C62" s="62" t="s">
        <v>145</v>
      </c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4"/>
      <c r="Q62" s="3">
        <v>46085</v>
      </c>
      <c r="R62" s="28" t="str">
        <f t="shared" si="1"/>
        <v>Wednesday</v>
      </c>
      <c r="S62" s="62" t="s">
        <v>145</v>
      </c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4"/>
    </row>
    <row r="63" spans="1:30" ht="30" hidden="1" customHeight="1" x14ac:dyDescent="0.2">
      <c r="A63" s="3">
        <v>46086</v>
      </c>
      <c r="B63" s="28" t="str">
        <f t="shared" si="0"/>
        <v>Thursday</v>
      </c>
      <c r="C63" s="7"/>
      <c r="D63" s="7"/>
      <c r="E63" s="7"/>
      <c r="F63" s="7"/>
      <c r="G63" s="34"/>
      <c r="H63" s="7"/>
      <c r="I63" s="7"/>
      <c r="J63" s="7"/>
      <c r="K63" s="7"/>
      <c r="L63" s="7"/>
      <c r="M63" s="7"/>
      <c r="N63" s="38"/>
      <c r="O63" s="1">
        <v>45</v>
      </c>
      <c r="Q63" s="3">
        <v>46086</v>
      </c>
      <c r="R63" s="28" t="str">
        <f t="shared" si="1"/>
        <v>Thursday</v>
      </c>
      <c r="S63" s="7"/>
      <c r="T63" s="7"/>
      <c r="U63" s="7"/>
      <c r="V63" s="7"/>
      <c r="W63" s="34"/>
      <c r="X63" s="7"/>
      <c r="Y63" s="7"/>
      <c r="Z63" s="7"/>
      <c r="AA63" s="7"/>
      <c r="AB63" s="7"/>
      <c r="AC63" s="7"/>
      <c r="AD63" s="38"/>
    </row>
    <row r="64" spans="1:30" ht="30" hidden="1" customHeight="1" x14ac:dyDescent="0.2">
      <c r="A64" s="3">
        <v>46087</v>
      </c>
      <c r="B64" s="28" t="str">
        <f t="shared" si="0"/>
        <v>Friday</v>
      </c>
      <c r="C64" s="7"/>
      <c r="D64" s="7"/>
      <c r="E64" s="7"/>
      <c r="F64" s="7"/>
      <c r="G64" s="34"/>
      <c r="H64" s="7"/>
      <c r="I64" s="7"/>
      <c r="J64" s="7"/>
      <c r="K64" s="7"/>
      <c r="L64" s="7"/>
      <c r="M64" s="7"/>
      <c r="N64" s="38"/>
      <c r="O64" s="1">
        <v>46</v>
      </c>
      <c r="P64" s="1" t="s">
        <v>146</v>
      </c>
      <c r="Q64" s="3">
        <v>46087</v>
      </c>
      <c r="R64" s="28" t="str">
        <f t="shared" si="1"/>
        <v>Friday</v>
      </c>
      <c r="S64" s="7"/>
      <c r="T64" s="7"/>
      <c r="U64" s="7"/>
      <c r="V64" s="7"/>
      <c r="W64" s="34"/>
      <c r="X64" s="7"/>
      <c r="Y64" s="7"/>
      <c r="Z64" s="7"/>
      <c r="AA64" s="7"/>
      <c r="AB64" s="7"/>
      <c r="AC64" s="7"/>
      <c r="AD64" s="38"/>
    </row>
    <row r="65" spans="1:30" ht="30" hidden="1" customHeight="1" x14ac:dyDescent="0.2">
      <c r="A65" s="3">
        <v>46088</v>
      </c>
      <c r="B65" s="28" t="str">
        <f t="shared" si="0"/>
        <v>Saturday</v>
      </c>
      <c r="C65" s="7"/>
      <c r="D65" s="7"/>
      <c r="E65" s="7"/>
      <c r="F65" s="7"/>
      <c r="G65" s="34"/>
      <c r="H65" s="7"/>
      <c r="I65" s="7"/>
      <c r="J65" s="7"/>
      <c r="K65" s="7"/>
      <c r="L65" s="7"/>
      <c r="M65" s="7"/>
      <c r="N65" s="38"/>
      <c r="O65" s="1">
        <v>47</v>
      </c>
      <c r="P65" s="1" t="s">
        <v>146</v>
      </c>
      <c r="Q65" s="3">
        <v>46088</v>
      </c>
      <c r="R65" s="28" t="str">
        <f t="shared" si="1"/>
        <v>Saturday</v>
      </c>
      <c r="S65" s="7"/>
      <c r="T65" s="7"/>
      <c r="U65" s="7"/>
      <c r="V65" s="7"/>
      <c r="W65" s="34"/>
      <c r="X65" s="7"/>
      <c r="Y65" s="7"/>
      <c r="Z65" s="7"/>
      <c r="AA65" s="7"/>
      <c r="AB65" s="7"/>
      <c r="AC65" s="7"/>
      <c r="AD65" s="38"/>
    </row>
    <row r="66" spans="1:30" ht="30" hidden="1" customHeight="1" x14ac:dyDescent="0.2">
      <c r="A66" s="3">
        <v>46089</v>
      </c>
      <c r="B66" s="28" t="str">
        <f t="shared" ref="B66:B99" si="2">TEXT(A66,"dddd")</f>
        <v>Sunday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P66" s="1" t="s">
        <v>146</v>
      </c>
      <c r="Q66" s="3">
        <v>46089</v>
      </c>
      <c r="R66" s="28" t="str">
        <f t="shared" si="1"/>
        <v>Sunday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</row>
    <row r="67" spans="1:30" ht="30" hidden="1" customHeight="1" x14ac:dyDescent="0.2">
      <c r="A67" s="3">
        <v>46090</v>
      </c>
      <c r="B67" s="28" t="str">
        <f t="shared" si="2"/>
        <v>Monday</v>
      </c>
      <c r="C67" s="7"/>
      <c r="D67" s="7"/>
      <c r="E67" s="7"/>
      <c r="F67" s="7"/>
      <c r="G67" s="34"/>
      <c r="H67" s="7"/>
      <c r="I67" s="7"/>
      <c r="J67" s="7"/>
      <c r="K67" s="7"/>
      <c r="L67" s="7"/>
      <c r="M67" s="7"/>
      <c r="N67" s="38"/>
      <c r="O67" s="1">
        <v>48</v>
      </c>
      <c r="Q67" s="3">
        <v>46090</v>
      </c>
      <c r="R67" s="28" t="str">
        <f t="shared" si="1"/>
        <v>Monday</v>
      </c>
      <c r="S67" s="7"/>
      <c r="T67" s="7"/>
      <c r="U67" s="7"/>
      <c r="V67" s="7"/>
      <c r="W67" s="34"/>
      <c r="X67" s="7"/>
      <c r="Y67" s="7"/>
      <c r="Z67" s="7"/>
      <c r="AA67" s="7"/>
      <c r="AB67" s="7"/>
      <c r="AC67" s="7"/>
      <c r="AD67" s="38"/>
    </row>
    <row r="68" spans="1:30" ht="30" hidden="1" customHeight="1" x14ac:dyDescent="0.2">
      <c r="A68" s="3">
        <v>46091</v>
      </c>
      <c r="B68" s="28" t="str">
        <f t="shared" si="2"/>
        <v>Tuesday</v>
      </c>
      <c r="C68" s="7"/>
      <c r="D68" s="7"/>
      <c r="E68" s="7"/>
      <c r="F68" s="7"/>
      <c r="G68" s="34"/>
      <c r="H68" s="7"/>
      <c r="I68" s="7"/>
      <c r="J68" s="7"/>
      <c r="K68" s="7"/>
      <c r="L68" s="7"/>
      <c r="M68" s="7"/>
      <c r="N68" s="38"/>
      <c r="O68" s="1">
        <v>49</v>
      </c>
      <c r="Q68" s="3">
        <v>46091</v>
      </c>
      <c r="R68" s="28" t="str">
        <f t="shared" ref="R68:R99" si="3">TEXT(Q68,"dddd")</f>
        <v>Tuesday</v>
      </c>
      <c r="S68" s="7"/>
      <c r="T68" s="7"/>
      <c r="U68" s="7"/>
      <c r="V68" s="7"/>
      <c r="W68" s="34"/>
      <c r="X68" s="7"/>
      <c r="Y68" s="7"/>
      <c r="Z68" s="7"/>
      <c r="AA68" s="7"/>
      <c r="AB68" s="7"/>
      <c r="AC68" s="7"/>
      <c r="AD68" s="38"/>
    </row>
    <row r="69" spans="1:30" ht="30" hidden="1" customHeight="1" x14ac:dyDescent="0.2">
      <c r="A69" s="3">
        <v>46092</v>
      </c>
      <c r="B69" s="28" t="str">
        <f t="shared" si="2"/>
        <v>Wednesday</v>
      </c>
      <c r="C69" s="7"/>
      <c r="D69" s="7"/>
      <c r="E69" s="7"/>
      <c r="F69" s="7"/>
      <c r="G69" s="34"/>
      <c r="H69" s="7"/>
      <c r="I69" s="7"/>
      <c r="J69" s="7"/>
      <c r="K69" s="7"/>
      <c r="L69" s="7"/>
      <c r="M69" s="7"/>
      <c r="N69" s="38"/>
      <c r="O69" s="1">
        <v>50</v>
      </c>
      <c r="Q69" s="3">
        <v>46092</v>
      </c>
      <c r="R69" s="28" t="str">
        <f t="shared" si="3"/>
        <v>Wednesday</v>
      </c>
      <c r="S69" s="7"/>
      <c r="T69" s="7"/>
      <c r="U69" s="7"/>
      <c r="V69" s="7"/>
      <c r="W69" s="34"/>
      <c r="X69" s="7"/>
      <c r="Y69" s="7"/>
      <c r="Z69" s="7"/>
      <c r="AA69" s="7"/>
      <c r="AB69" s="7"/>
      <c r="AC69" s="7"/>
      <c r="AD69" s="38"/>
    </row>
    <row r="70" spans="1:30" ht="30" hidden="1" customHeight="1" x14ac:dyDescent="0.2">
      <c r="A70" s="3">
        <v>46093</v>
      </c>
      <c r="B70" s="28" t="str">
        <f t="shared" si="2"/>
        <v>Thursday</v>
      </c>
      <c r="C70" s="7"/>
      <c r="D70" s="7"/>
      <c r="E70" s="7"/>
      <c r="F70" s="7"/>
      <c r="G70" s="34"/>
      <c r="H70" s="7"/>
      <c r="I70" s="7"/>
      <c r="J70" s="7"/>
      <c r="K70" s="7"/>
      <c r="L70" s="7"/>
      <c r="M70" s="7"/>
      <c r="N70" s="38"/>
      <c r="O70" s="1">
        <v>51</v>
      </c>
      <c r="Q70" s="3">
        <v>46093</v>
      </c>
      <c r="R70" s="28" t="str">
        <f t="shared" si="3"/>
        <v>Thursday</v>
      </c>
      <c r="S70" s="7"/>
      <c r="T70" s="7"/>
      <c r="U70" s="7"/>
      <c r="V70" s="7"/>
      <c r="W70" s="34"/>
      <c r="X70" s="7"/>
      <c r="Y70" s="7"/>
      <c r="Z70" s="7"/>
      <c r="AA70" s="7"/>
      <c r="AB70" s="7"/>
      <c r="AC70" s="7"/>
      <c r="AD70" s="38"/>
    </row>
    <row r="71" spans="1:30" ht="30" hidden="1" customHeight="1" x14ac:dyDescent="0.2">
      <c r="A71" s="3">
        <v>46094</v>
      </c>
      <c r="B71" s="28" t="str">
        <f t="shared" si="2"/>
        <v>Friday</v>
      </c>
      <c r="C71" s="7"/>
      <c r="D71" s="7"/>
      <c r="E71" s="7"/>
      <c r="F71" s="7"/>
      <c r="G71" s="34"/>
      <c r="H71" s="7"/>
      <c r="I71" s="7"/>
      <c r="J71" s="7"/>
      <c r="K71" s="7"/>
      <c r="L71" s="7"/>
      <c r="M71" s="7"/>
      <c r="N71" s="38"/>
      <c r="O71" s="1">
        <v>52</v>
      </c>
      <c r="Q71" s="3">
        <v>46094</v>
      </c>
      <c r="R71" s="28" t="str">
        <f t="shared" si="3"/>
        <v>Friday</v>
      </c>
      <c r="S71" s="7"/>
      <c r="T71" s="7"/>
      <c r="U71" s="7"/>
      <c r="V71" s="7"/>
      <c r="W71" s="34"/>
      <c r="X71" s="7"/>
      <c r="Y71" s="7"/>
      <c r="Z71" s="7"/>
      <c r="AA71" s="7"/>
      <c r="AB71" s="7"/>
      <c r="AC71" s="7"/>
      <c r="AD71" s="38"/>
    </row>
    <row r="72" spans="1:30" ht="30" hidden="1" customHeight="1" x14ac:dyDescent="0.2">
      <c r="A72" s="3">
        <v>46095</v>
      </c>
      <c r="B72" s="28" t="str">
        <f t="shared" si="2"/>
        <v>Saturday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Q72" s="3">
        <v>46095</v>
      </c>
      <c r="R72" s="28" t="str">
        <f t="shared" si="3"/>
        <v>Saturday</v>
      </c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</row>
    <row r="73" spans="1:30" ht="30" hidden="1" customHeight="1" x14ac:dyDescent="0.2">
      <c r="A73" s="3">
        <v>46096</v>
      </c>
      <c r="B73" s="28" t="str">
        <f t="shared" si="2"/>
        <v>Sunday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Q73" s="3">
        <v>46096</v>
      </c>
      <c r="R73" s="28" t="str">
        <f t="shared" si="3"/>
        <v>Sunday</v>
      </c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</row>
    <row r="74" spans="1:30" ht="30" hidden="1" customHeight="1" x14ac:dyDescent="0.2">
      <c r="A74" s="3">
        <v>46097</v>
      </c>
      <c r="B74" s="28" t="str">
        <f t="shared" si="2"/>
        <v>Monday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1">
        <v>53</v>
      </c>
      <c r="Q74" s="3">
        <v>46097</v>
      </c>
      <c r="R74" s="28" t="str">
        <f t="shared" si="3"/>
        <v>Monday</v>
      </c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</row>
    <row r="75" spans="1:30" ht="30" hidden="1" customHeight="1" x14ac:dyDescent="0.2">
      <c r="A75" s="3">
        <v>46098</v>
      </c>
      <c r="B75" s="28" t="str">
        <f t="shared" si="2"/>
        <v>Tuesday</v>
      </c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1">
        <v>54</v>
      </c>
      <c r="Q75" s="3">
        <v>46098</v>
      </c>
      <c r="R75" s="28" t="str">
        <f t="shared" si="3"/>
        <v>Tuesday</v>
      </c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</row>
    <row r="76" spans="1:30" ht="30" hidden="1" customHeight="1" x14ac:dyDescent="0.2">
      <c r="A76" s="3">
        <v>46099</v>
      </c>
      <c r="B76" s="28" t="str">
        <f t="shared" si="2"/>
        <v>Wednesday</v>
      </c>
      <c r="C76" s="7"/>
      <c r="D76" s="7"/>
      <c r="E76" s="7"/>
      <c r="F76" s="7"/>
      <c r="G76" s="34"/>
      <c r="H76" s="7"/>
      <c r="I76" s="7"/>
      <c r="J76" s="7"/>
      <c r="K76" s="7"/>
      <c r="L76" s="7"/>
      <c r="M76" s="7"/>
      <c r="N76" s="38"/>
      <c r="O76" s="1">
        <v>55</v>
      </c>
      <c r="Q76" s="3">
        <v>46099</v>
      </c>
      <c r="R76" s="28" t="str">
        <f t="shared" si="3"/>
        <v>Wednesday</v>
      </c>
      <c r="S76" s="7"/>
      <c r="T76" s="7"/>
      <c r="U76" s="7"/>
      <c r="V76" s="7"/>
      <c r="W76" s="34"/>
      <c r="X76" s="7"/>
      <c r="Y76" s="7"/>
      <c r="Z76" s="7"/>
      <c r="AA76" s="7"/>
      <c r="AB76" s="7"/>
      <c r="AC76" s="7"/>
      <c r="AD76" s="38"/>
    </row>
    <row r="77" spans="1:30" ht="30" hidden="1" customHeight="1" x14ac:dyDescent="0.2">
      <c r="A77" s="3">
        <v>46100</v>
      </c>
      <c r="B77" s="28" t="str">
        <f t="shared" si="2"/>
        <v>Thursday</v>
      </c>
      <c r="C77" s="7"/>
      <c r="D77" s="7"/>
      <c r="E77" s="7"/>
      <c r="F77" s="7"/>
      <c r="G77" s="34"/>
      <c r="H77" s="7"/>
      <c r="I77" s="7"/>
      <c r="J77" s="7"/>
      <c r="K77" s="7"/>
      <c r="L77" s="7"/>
      <c r="M77" s="7"/>
      <c r="N77" s="38"/>
      <c r="O77" s="1">
        <v>56</v>
      </c>
      <c r="Q77" s="3">
        <v>46100</v>
      </c>
      <c r="R77" s="28" t="str">
        <f t="shared" si="3"/>
        <v>Thursday</v>
      </c>
      <c r="S77" s="7"/>
      <c r="T77" s="7"/>
      <c r="U77" s="7"/>
      <c r="V77" s="7"/>
      <c r="W77" s="34"/>
      <c r="X77" s="7"/>
      <c r="Y77" s="7"/>
      <c r="Z77" s="7"/>
      <c r="AA77" s="7"/>
      <c r="AB77" s="7"/>
      <c r="AC77" s="7"/>
      <c r="AD77" s="38"/>
    </row>
    <row r="78" spans="1:30" ht="30" hidden="1" customHeight="1" x14ac:dyDescent="0.2">
      <c r="A78" s="3">
        <v>46101</v>
      </c>
      <c r="B78" s="28" t="str">
        <f t="shared" si="2"/>
        <v>Friday</v>
      </c>
      <c r="C78" s="7"/>
      <c r="D78" s="7"/>
      <c r="E78" s="7"/>
      <c r="F78" s="7"/>
      <c r="G78" s="34"/>
      <c r="H78" s="7"/>
      <c r="I78" s="7"/>
      <c r="J78" s="7"/>
      <c r="K78" s="7"/>
      <c r="L78" s="7"/>
      <c r="M78" s="7"/>
      <c r="N78" s="38"/>
      <c r="O78" s="1">
        <v>57</v>
      </c>
      <c r="Q78" s="3">
        <v>46101</v>
      </c>
      <c r="R78" s="28" t="str">
        <f t="shared" si="3"/>
        <v>Friday</v>
      </c>
      <c r="S78" s="7"/>
      <c r="T78" s="7"/>
      <c r="U78" s="7"/>
      <c r="V78" s="7"/>
      <c r="W78" s="34"/>
      <c r="X78" s="7"/>
      <c r="Y78" s="7"/>
      <c r="Z78" s="7"/>
      <c r="AA78" s="7"/>
      <c r="AB78" s="7"/>
      <c r="AC78" s="7"/>
      <c r="AD78" s="38"/>
    </row>
    <row r="79" spans="1:30" ht="30" hidden="1" customHeight="1" x14ac:dyDescent="0.2">
      <c r="A79" s="3">
        <v>46102</v>
      </c>
      <c r="B79" s="28" t="str">
        <f t="shared" si="2"/>
        <v>Saturday</v>
      </c>
      <c r="C79" s="62" t="s">
        <v>147</v>
      </c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4"/>
      <c r="O79" s="1">
        <v>58</v>
      </c>
      <c r="Q79" s="3">
        <v>46102</v>
      </c>
      <c r="R79" s="28" t="str">
        <f t="shared" si="3"/>
        <v>Saturday</v>
      </c>
      <c r="S79" s="62" t="s">
        <v>147</v>
      </c>
      <c r="T79" s="63"/>
      <c r="U79" s="63"/>
      <c r="V79" s="63"/>
      <c r="W79" s="63"/>
      <c r="X79" s="63"/>
      <c r="Y79" s="63"/>
      <c r="Z79" s="63"/>
      <c r="AA79" s="63"/>
      <c r="AB79" s="63"/>
      <c r="AC79" s="63"/>
      <c r="AD79" s="64"/>
    </row>
    <row r="80" spans="1:30" ht="30" hidden="1" customHeight="1" x14ac:dyDescent="0.2">
      <c r="A80" s="3">
        <v>46103</v>
      </c>
      <c r="B80" s="28" t="str">
        <f t="shared" si="2"/>
        <v>Sunday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Q80" s="3">
        <v>46103</v>
      </c>
      <c r="R80" s="28" t="str">
        <f t="shared" si="3"/>
        <v>Sunday</v>
      </c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</row>
    <row r="81" spans="1:30" ht="30" hidden="1" customHeight="1" x14ac:dyDescent="0.2">
      <c r="A81" s="3">
        <v>46104</v>
      </c>
      <c r="B81" s="28" t="str">
        <f t="shared" si="2"/>
        <v>Monday</v>
      </c>
      <c r="C81" s="7"/>
      <c r="D81" s="7"/>
      <c r="E81" s="7"/>
      <c r="F81" s="7"/>
      <c r="G81" s="34"/>
      <c r="H81" s="7"/>
      <c r="I81" s="7"/>
      <c r="J81" s="7"/>
      <c r="K81" s="7"/>
      <c r="L81" s="7"/>
      <c r="M81" s="7"/>
      <c r="N81" s="38"/>
      <c r="O81" s="1">
        <v>59</v>
      </c>
      <c r="Q81" s="3">
        <v>46104</v>
      </c>
      <c r="R81" s="28" t="str">
        <f t="shared" si="3"/>
        <v>Monday</v>
      </c>
      <c r="S81" s="7"/>
      <c r="T81" s="7"/>
      <c r="U81" s="7"/>
      <c r="V81" s="7"/>
      <c r="W81" s="34"/>
      <c r="X81" s="7"/>
      <c r="Y81" s="7"/>
      <c r="Z81" s="7"/>
      <c r="AA81" s="7"/>
      <c r="AB81" s="7"/>
      <c r="AC81" s="7"/>
      <c r="AD81" s="38"/>
    </row>
    <row r="82" spans="1:30" ht="30" hidden="1" customHeight="1" x14ac:dyDescent="0.2">
      <c r="A82" s="3">
        <v>46105</v>
      </c>
      <c r="B82" s="28" t="str">
        <f t="shared" si="2"/>
        <v>Tuesday</v>
      </c>
      <c r="C82" s="7"/>
      <c r="D82" s="7"/>
      <c r="E82" s="7"/>
      <c r="F82" s="7"/>
      <c r="G82" s="34"/>
      <c r="H82" s="7"/>
      <c r="I82" s="7"/>
      <c r="J82" s="7"/>
      <c r="K82" s="7"/>
      <c r="L82" s="7"/>
      <c r="M82" s="7"/>
      <c r="N82" s="38"/>
      <c r="O82" s="1">
        <v>60</v>
      </c>
      <c r="Q82" s="3">
        <v>46105</v>
      </c>
      <c r="R82" s="28" t="str">
        <f t="shared" si="3"/>
        <v>Tuesday</v>
      </c>
      <c r="S82" s="7"/>
      <c r="T82" s="7"/>
      <c r="U82" s="7"/>
      <c r="V82" s="7"/>
      <c r="W82" s="34"/>
      <c r="X82" s="7"/>
      <c r="Y82" s="7"/>
      <c r="Z82" s="7"/>
      <c r="AA82" s="7"/>
      <c r="AB82" s="7"/>
      <c r="AC82" s="7"/>
      <c r="AD82" s="38"/>
    </row>
    <row r="83" spans="1:30" ht="30" hidden="1" customHeight="1" x14ac:dyDescent="0.2">
      <c r="A83" s="3">
        <v>46106</v>
      </c>
      <c r="B83" s="28" t="str">
        <f t="shared" si="2"/>
        <v>Wednesday</v>
      </c>
      <c r="C83" s="7"/>
      <c r="D83" s="7"/>
      <c r="E83" s="7"/>
      <c r="F83" s="7"/>
      <c r="G83" s="34"/>
      <c r="H83" s="7"/>
      <c r="I83" s="7"/>
      <c r="J83" s="7"/>
      <c r="K83" s="7"/>
      <c r="L83" s="7"/>
      <c r="M83" s="7"/>
      <c r="N83" s="38"/>
      <c r="O83" s="1">
        <v>60</v>
      </c>
      <c r="Q83" s="3">
        <v>46106</v>
      </c>
      <c r="R83" s="28" t="str">
        <f t="shared" si="3"/>
        <v>Wednesday</v>
      </c>
      <c r="S83" s="7"/>
      <c r="T83" s="7"/>
      <c r="U83" s="7"/>
      <c r="V83" s="7"/>
      <c r="W83" s="34"/>
      <c r="X83" s="7"/>
      <c r="Y83" s="7"/>
      <c r="Z83" s="7"/>
      <c r="AA83" s="7"/>
      <c r="AB83" s="7"/>
      <c r="AC83" s="7"/>
      <c r="AD83" s="38"/>
    </row>
    <row r="84" spans="1:30" ht="30" hidden="1" customHeight="1" x14ac:dyDescent="0.2">
      <c r="A84" s="3">
        <v>46107</v>
      </c>
      <c r="B84" s="28" t="str">
        <f t="shared" si="2"/>
        <v>Thursday</v>
      </c>
      <c r="C84" s="62" t="s">
        <v>148</v>
      </c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4"/>
      <c r="Q84" s="3">
        <v>46107</v>
      </c>
      <c r="R84" s="28" t="str">
        <f t="shared" si="3"/>
        <v>Thursday</v>
      </c>
      <c r="S84" s="62" t="s">
        <v>148</v>
      </c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4"/>
    </row>
    <row r="85" spans="1:30" ht="30" hidden="1" customHeight="1" x14ac:dyDescent="0.2">
      <c r="A85" s="3">
        <v>46108</v>
      </c>
      <c r="B85" s="28" t="str">
        <f t="shared" si="2"/>
        <v>Friday</v>
      </c>
      <c r="C85" s="7"/>
      <c r="D85" s="7"/>
      <c r="E85" s="7"/>
      <c r="F85" s="7"/>
      <c r="G85" s="34"/>
      <c r="H85" s="7"/>
      <c r="I85" s="7"/>
      <c r="J85" s="7"/>
      <c r="K85" s="7"/>
      <c r="L85" s="7"/>
      <c r="M85" s="7"/>
      <c r="N85" s="38"/>
      <c r="Q85" s="3">
        <v>46108</v>
      </c>
      <c r="R85" s="28" t="str">
        <f t="shared" si="3"/>
        <v>Friday</v>
      </c>
      <c r="S85" s="7"/>
      <c r="T85" s="7"/>
      <c r="U85" s="7"/>
      <c r="V85" s="7"/>
      <c r="W85" s="34"/>
      <c r="X85" s="7"/>
      <c r="Y85" s="7"/>
      <c r="Z85" s="7"/>
      <c r="AA85" s="7"/>
      <c r="AB85" s="7"/>
      <c r="AC85" s="7"/>
      <c r="AD85" s="38"/>
    </row>
    <row r="86" spans="1:30" ht="30" hidden="1" customHeight="1" x14ac:dyDescent="0.2">
      <c r="A86" s="3">
        <v>46109</v>
      </c>
      <c r="B86" s="28" t="str">
        <f t="shared" si="2"/>
        <v>Saturday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Q86" s="3">
        <v>46109</v>
      </c>
      <c r="R86" s="28" t="str">
        <f t="shared" si="3"/>
        <v>Saturday</v>
      </c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</row>
    <row r="87" spans="1:30" ht="30" hidden="1" customHeight="1" x14ac:dyDescent="0.2">
      <c r="A87" s="3">
        <v>46110</v>
      </c>
      <c r="B87" s="28" t="str">
        <f t="shared" si="2"/>
        <v>Sunday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Q87" s="3">
        <v>46110</v>
      </c>
      <c r="R87" s="28" t="str">
        <f t="shared" si="3"/>
        <v>Sunday</v>
      </c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</row>
    <row r="88" spans="1:30" ht="30" hidden="1" customHeight="1" x14ac:dyDescent="0.2">
      <c r="A88" s="3">
        <v>46111</v>
      </c>
      <c r="B88" s="28" t="str">
        <f t="shared" si="2"/>
        <v>Monday</v>
      </c>
      <c r="C88" s="62" t="s">
        <v>10</v>
      </c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4"/>
      <c r="Q88" s="3">
        <v>46111</v>
      </c>
      <c r="R88" s="28" t="str">
        <f t="shared" si="3"/>
        <v>Monday</v>
      </c>
      <c r="S88" s="62" t="s">
        <v>10</v>
      </c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4"/>
    </row>
    <row r="89" spans="1:30" ht="30" hidden="1" customHeight="1" x14ac:dyDescent="0.2">
      <c r="A89" s="3">
        <v>46112</v>
      </c>
      <c r="B89" s="28" t="str">
        <f t="shared" si="2"/>
        <v>Tuesday</v>
      </c>
      <c r="C89" s="62" t="s">
        <v>149</v>
      </c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4"/>
      <c r="Q89" s="3">
        <v>46112</v>
      </c>
      <c r="R89" s="28" t="str">
        <f t="shared" si="3"/>
        <v>Tuesday</v>
      </c>
      <c r="S89" s="62" t="s">
        <v>149</v>
      </c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4"/>
    </row>
    <row r="90" spans="1:30" ht="30" hidden="1" customHeight="1" x14ac:dyDescent="0.2">
      <c r="A90" s="3">
        <v>46113</v>
      </c>
      <c r="B90" s="28" t="str">
        <f t="shared" si="2"/>
        <v>Wednesday</v>
      </c>
      <c r="C90" s="48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0"/>
      <c r="Q90" s="3">
        <v>46113</v>
      </c>
      <c r="R90" s="28" t="str">
        <f t="shared" si="3"/>
        <v>Wednesday</v>
      </c>
      <c r="S90" s="48"/>
      <c r="T90" s="49"/>
      <c r="U90" s="49"/>
      <c r="V90" s="49"/>
      <c r="W90" s="49"/>
      <c r="X90" s="49"/>
      <c r="Y90" s="49"/>
      <c r="Z90" s="49"/>
      <c r="AA90" s="49"/>
      <c r="AB90" s="49"/>
      <c r="AC90" s="49"/>
      <c r="AD90" s="40"/>
    </row>
    <row r="91" spans="1:30" ht="30" hidden="1" customHeight="1" x14ac:dyDescent="0.2">
      <c r="A91" s="3">
        <v>46114</v>
      </c>
      <c r="B91" s="28" t="str">
        <f t="shared" si="2"/>
        <v>Thursday</v>
      </c>
      <c r="C91" s="46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1"/>
      <c r="Q91" s="3">
        <v>46114</v>
      </c>
      <c r="R91" s="28" t="str">
        <f t="shared" si="3"/>
        <v>Thursday</v>
      </c>
      <c r="S91" s="46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1"/>
    </row>
    <row r="92" spans="1:30" ht="18.75" hidden="1" customHeight="1" x14ac:dyDescent="0.2">
      <c r="A92" s="3">
        <v>46115</v>
      </c>
      <c r="B92" s="28" t="str">
        <f t="shared" si="2"/>
        <v>Friday</v>
      </c>
      <c r="C92" s="51" t="s">
        <v>10</v>
      </c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3"/>
      <c r="Q92" s="3">
        <v>46115</v>
      </c>
      <c r="R92" s="28" t="str">
        <f t="shared" si="3"/>
        <v>Friday</v>
      </c>
      <c r="S92" s="51" t="s">
        <v>10</v>
      </c>
      <c r="T92" s="52"/>
      <c r="U92" s="52"/>
      <c r="V92" s="52"/>
      <c r="W92" s="52"/>
      <c r="X92" s="52"/>
      <c r="Y92" s="52"/>
      <c r="Z92" s="52"/>
      <c r="AA92" s="52"/>
      <c r="AB92" s="52"/>
      <c r="AC92" s="52"/>
      <c r="AD92" s="53"/>
    </row>
    <row r="93" spans="1:30" ht="18.75" hidden="1" customHeight="1" x14ac:dyDescent="0.2">
      <c r="A93" s="3">
        <v>46116</v>
      </c>
      <c r="B93" s="28" t="str">
        <f t="shared" si="2"/>
        <v>Saturday</v>
      </c>
      <c r="C93" s="54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6"/>
      <c r="Q93" s="3">
        <v>46116</v>
      </c>
      <c r="R93" s="28" t="str">
        <f t="shared" si="3"/>
        <v>Saturday</v>
      </c>
      <c r="S93" s="54"/>
      <c r="T93" s="55"/>
      <c r="U93" s="55"/>
      <c r="V93" s="55"/>
      <c r="W93" s="55"/>
      <c r="X93" s="55"/>
      <c r="Y93" s="55"/>
      <c r="Z93" s="55"/>
      <c r="AA93" s="55"/>
      <c r="AB93" s="55"/>
      <c r="AC93" s="55"/>
      <c r="AD93" s="56"/>
    </row>
    <row r="94" spans="1:30" ht="15" hidden="1" customHeight="1" x14ac:dyDescent="0.2">
      <c r="A94" s="3">
        <v>46117</v>
      </c>
      <c r="B94" s="28" t="str">
        <f t="shared" si="2"/>
        <v>Sunday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Q94" s="3">
        <v>46117</v>
      </c>
      <c r="R94" s="28" t="str">
        <f t="shared" si="3"/>
        <v>Sunday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 spans="1:30" ht="15" hidden="1" x14ac:dyDescent="0.2">
      <c r="A95" s="3">
        <v>46118</v>
      </c>
      <c r="B95" s="28" t="str">
        <f t="shared" si="2"/>
        <v>Monday</v>
      </c>
      <c r="C95" s="51" t="s">
        <v>10</v>
      </c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3"/>
      <c r="Q95" s="3">
        <v>46118</v>
      </c>
      <c r="R95" s="28" t="str">
        <f t="shared" si="3"/>
        <v>Monday</v>
      </c>
      <c r="S95" s="51" t="s">
        <v>10</v>
      </c>
      <c r="T95" s="52"/>
      <c r="U95" s="52"/>
      <c r="V95" s="52"/>
      <c r="W95" s="52"/>
      <c r="X95" s="52"/>
      <c r="Y95" s="52"/>
      <c r="Z95" s="52"/>
      <c r="AA95" s="52"/>
      <c r="AB95" s="52"/>
      <c r="AC95" s="52"/>
      <c r="AD95" s="53"/>
    </row>
    <row r="96" spans="1:30" ht="15" hidden="1" x14ac:dyDescent="0.2">
      <c r="A96" s="3">
        <v>46119</v>
      </c>
      <c r="B96" s="28" t="str">
        <f t="shared" si="2"/>
        <v>Tuesday</v>
      </c>
      <c r="C96" s="54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6"/>
      <c r="Q96" s="3">
        <v>46119</v>
      </c>
      <c r="R96" s="28" t="str">
        <f t="shared" si="3"/>
        <v>Tuesday</v>
      </c>
      <c r="S96" s="54"/>
      <c r="T96" s="55"/>
      <c r="U96" s="55"/>
      <c r="V96" s="55"/>
      <c r="W96" s="55"/>
      <c r="X96" s="55"/>
      <c r="Y96" s="55"/>
      <c r="Z96" s="55"/>
      <c r="AA96" s="55"/>
      <c r="AB96" s="55"/>
      <c r="AC96" s="55"/>
      <c r="AD96" s="56"/>
    </row>
    <row r="97" spans="1:30" ht="15" hidden="1" x14ac:dyDescent="0.2">
      <c r="A97" s="3">
        <v>46120</v>
      </c>
      <c r="B97" s="28" t="str">
        <f t="shared" si="2"/>
        <v>Wednesday</v>
      </c>
      <c r="C97" s="54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6"/>
      <c r="Q97" s="3">
        <v>46120</v>
      </c>
      <c r="R97" s="28" t="str">
        <f t="shared" si="3"/>
        <v>Wednesday</v>
      </c>
      <c r="S97" s="54"/>
      <c r="T97" s="55"/>
      <c r="U97" s="55"/>
      <c r="V97" s="55"/>
      <c r="W97" s="55"/>
      <c r="X97" s="55"/>
      <c r="Y97" s="55"/>
      <c r="Z97" s="55"/>
      <c r="AA97" s="55"/>
      <c r="AB97" s="55"/>
      <c r="AC97" s="55"/>
      <c r="AD97" s="56"/>
    </row>
    <row r="98" spans="1:30" ht="15" hidden="1" x14ac:dyDescent="0.2">
      <c r="A98" s="3">
        <v>46121</v>
      </c>
      <c r="B98" s="28" t="str">
        <f t="shared" si="2"/>
        <v>Thursday</v>
      </c>
      <c r="C98" s="54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6"/>
      <c r="Q98" s="3">
        <v>46121</v>
      </c>
      <c r="R98" s="28" t="str">
        <f t="shared" si="3"/>
        <v>Thursday</v>
      </c>
      <c r="S98" s="54"/>
      <c r="T98" s="55"/>
      <c r="U98" s="55"/>
      <c r="V98" s="55"/>
      <c r="W98" s="55"/>
      <c r="X98" s="55"/>
      <c r="Y98" s="55"/>
      <c r="Z98" s="55"/>
      <c r="AA98" s="55"/>
      <c r="AB98" s="55"/>
      <c r="AC98" s="55"/>
      <c r="AD98" s="56"/>
    </row>
    <row r="99" spans="1:30" ht="27.75" hidden="1" customHeight="1" x14ac:dyDescent="0.2">
      <c r="A99" s="3">
        <v>46122</v>
      </c>
      <c r="B99" s="28" t="str">
        <f t="shared" si="2"/>
        <v>Friday</v>
      </c>
      <c r="C99" s="57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9"/>
      <c r="O99" s="1">
        <v>48</v>
      </c>
      <c r="Q99" s="3">
        <v>46122</v>
      </c>
      <c r="R99" s="28" t="str">
        <f t="shared" si="3"/>
        <v>Friday</v>
      </c>
      <c r="S99" s="57"/>
      <c r="T99" s="58"/>
      <c r="U99" s="58"/>
      <c r="V99" s="58"/>
      <c r="W99" s="58"/>
      <c r="X99" s="58"/>
      <c r="Y99" s="58"/>
      <c r="Z99" s="58"/>
      <c r="AA99" s="58"/>
      <c r="AB99" s="58"/>
      <c r="AC99" s="58"/>
      <c r="AD99" s="59"/>
    </row>
    <row r="100" spans="1:30" ht="18" customHeight="1" x14ac:dyDescent="0.2"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</row>
    <row r="101" spans="1:30" ht="18" customHeight="1" x14ac:dyDescent="0.2"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</row>
    <row r="102" spans="1:30" ht="18" customHeight="1" x14ac:dyDescent="0.2"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</row>
    <row r="103" spans="1:30" ht="18" customHeight="1" x14ac:dyDescent="0.2">
      <c r="C103" s="30" t="s">
        <v>31</v>
      </c>
      <c r="D103" s="31">
        <f>COUNTIF($C$4:$N$99, "IL(A)/D&amp;IT")</f>
        <v>3</v>
      </c>
      <c r="E103" s="31">
        <f>COUNTIF($C$4:$N$99, "DRM(A)/ML&amp;AI('C)")</f>
        <v>0</v>
      </c>
      <c r="F103" s="31">
        <f>COUNTIF($C$4:$N$99, "DRM(A)")</f>
        <v>0</v>
      </c>
      <c r="G103" s="31"/>
      <c r="H103" s="31">
        <f>COUNTIF($C$4:$N$99, "DRM(A)/DRM('C)/ML&amp;AI('C)")</f>
        <v>0</v>
      </c>
      <c r="I103" s="31"/>
      <c r="J103" s="31"/>
      <c r="K103" s="31"/>
      <c r="L103" s="31"/>
      <c r="M103" s="31"/>
      <c r="N103" s="31">
        <f>SUM(D103:M103)</f>
        <v>3</v>
      </c>
    </row>
    <row r="104" spans="1:30" ht="18" customHeight="1" x14ac:dyDescent="0.2">
      <c r="C104" s="30" t="s">
        <v>169</v>
      </c>
      <c r="D104" s="31">
        <f>COUNTIF($C$4:$N$99, "IF(A)/PPC(B)/DIW")</f>
        <v>1</v>
      </c>
      <c r="E104" s="31">
        <f>COUNTIF($C$4:$N$99, "DRM(B)")</f>
        <v>0</v>
      </c>
      <c r="F104" s="31">
        <f>COUNTIF($C$4:$N$99, "DRM(B)/PDBE(A)/SMKT(B)")</f>
        <v>0</v>
      </c>
      <c r="G104" s="31">
        <f>COUNTIF($C$4:$N$99, "DC(A)/DRM(B)")</f>
        <v>0</v>
      </c>
      <c r="H104" s="31">
        <f>COUNTIF($C$4:$N$99, "DRM(B)/DRM(D)")</f>
        <v>0</v>
      </c>
      <c r="I104" s="31"/>
      <c r="J104" s="31"/>
      <c r="K104" s="31"/>
      <c r="L104" s="31"/>
      <c r="M104" s="31"/>
      <c r="N104" s="31">
        <f t="shared" ref="N104:N132" si="4">SUM(D104:M104)</f>
        <v>1</v>
      </c>
    </row>
    <row r="105" spans="1:30" ht="18" customHeight="1" x14ac:dyDescent="0.2">
      <c r="C105" s="30" t="s">
        <v>170</v>
      </c>
      <c r="D105" s="31">
        <f>COUNTIF($C$4:$N$99, "IF(B)/PPC(A)/GBL")</f>
        <v>2</v>
      </c>
      <c r="E105" s="31">
        <f>COUNTIF($C$4:$N$99, "DRM('C)")</f>
        <v>0</v>
      </c>
      <c r="F105" s="31">
        <f>COUNTIF($C$4:$N$99, "DRM(A)/DRM('C)/ML&amp;AI('C)")</f>
        <v>0</v>
      </c>
      <c r="G105" s="31"/>
      <c r="H105" s="31">
        <f>COUNTIF($C$4:$N$99, "DRM('C)")</f>
        <v>0</v>
      </c>
      <c r="I105" s="31"/>
      <c r="J105" s="31"/>
      <c r="K105" s="31"/>
      <c r="L105" s="31"/>
      <c r="M105" s="31"/>
      <c r="N105" s="31">
        <f t="shared" si="4"/>
        <v>2</v>
      </c>
    </row>
    <row r="106" spans="1:30" ht="18" customHeight="1" x14ac:dyDescent="0.2">
      <c r="C106" s="30" t="s">
        <v>171</v>
      </c>
      <c r="D106" s="31">
        <f>COUNTIF($C$4:$N$99, "M&amp;A(A)/FT(B)/PRM(A)")</f>
        <v>3</v>
      </c>
      <c r="E106" s="31">
        <f>COUNTIF($C$4:$N$99, "DRM(D)/SMKT(A)")</f>
        <v>0</v>
      </c>
      <c r="F106" s="31">
        <f>COUNTIF($C$4:$N$99, "DRM(D)/LSS(A)")</f>
        <v>0</v>
      </c>
      <c r="G106" s="31"/>
      <c r="H106" s="31">
        <f>COUNTIF($C$4:$N$99, "DRM(B)/DRM(D)")</f>
        <v>0</v>
      </c>
      <c r="I106" s="31"/>
      <c r="J106" s="31"/>
      <c r="K106" s="31"/>
      <c r="L106" s="31"/>
      <c r="M106" s="31"/>
      <c r="N106" s="31">
        <f t="shared" si="4"/>
        <v>3</v>
      </c>
    </row>
    <row r="107" spans="1:30" ht="18" customHeight="1" x14ac:dyDescent="0.2">
      <c r="C107" s="30" t="s">
        <v>172</v>
      </c>
      <c r="D107" s="31">
        <f>COUNTIF($C$4:$N$99, "M&amp;A(B)/FT(A)/PRM(B)")</f>
        <v>3</v>
      </c>
      <c r="E107" s="31">
        <f>COUNTIF($C$4:$N$99, "INB(A)")</f>
        <v>0</v>
      </c>
      <c r="F107" s="31">
        <f>COUNTIF($C$4:$N$99, "INB(A)/DADM")</f>
        <v>0</v>
      </c>
      <c r="G107" s="31">
        <f>COUNTIF($C$36:$N$99, "INB(A)/SCM(B)")</f>
        <v>0</v>
      </c>
      <c r="H107" s="31"/>
      <c r="I107" s="31"/>
      <c r="J107" s="31"/>
      <c r="K107" s="31"/>
      <c r="L107" s="31"/>
      <c r="M107" s="31"/>
      <c r="N107" s="31">
        <f t="shared" si="4"/>
        <v>3</v>
      </c>
    </row>
    <row r="108" spans="1:30" ht="18" customHeight="1" x14ac:dyDescent="0.2">
      <c r="C108" s="30" t="s">
        <v>173</v>
      </c>
      <c r="D108" s="31">
        <f>COUNTIF($C$4:$N$99, "M&amp;A('C)/MA")</f>
        <v>3</v>
      </c>
      <c r="E108" s="31">
        <f>COUNTIF($C$4:$N$99, "INB(B)")</f>
        <v>0</v>
      </c>
      <c r="F108" s="31"/>
      <c r="G108" s="31"/>
      <c r="H108" s="31"/>
      <c r="I108" s="31"/>
      <c r="J108" s="31"/>
      <c r="K108" s="31"/>
      <c r="L108" s="31"/>
      <c r="M108" s="31"/>
      <c r="N108" s="31">
        <f t="shared" si="4"/>
        <v>3</v>
      </c>
    </row>
    <row r="109" spans="1:30" ht="18" customHeight="1" x14ac:dyDescent="0.2">
      <c r="C109" s="30" t="s">
        <v>174</v>
      </c>
      <c r="D109" s="31">
        <f>COUNTIF($C$4:$N$99, "IF(B)/PPC(A)/GBL")</f>
        <v>2</v>
      </c>
      <c r="E109" s="31">
        <f>COUNTIF($C$4:$N$99, "INB('C)")</f>
        <v>0</v>
      </c>
      <c r="F109" s="31"/>
      <c r="G109" s="31"/>
      <c r="H109" s="31"/>
      <c r="I109" s="31"/>
      <c r="J109" s="31"/>
      <c r="K109" s="31"/>
      <c r="L109" s="31"/>
      <c r="M109" s="31"/>
      <c r="N109" s="31">
        <f t="shared" si="4"/>
        <v>2</v>
      </c>
    </row>
    <row r="110" spans="1:30" ht="18" customHeight="1" x14ac:dyDescent="0.2">
      <c r="C110" s="30" t="s">
        <v>161</v>
      </c>
      <c r="D110" s="31">
        <f>COUNTIF($C$4:$N$99, "IF(A)/PPC(B)/DIW")</f>
        <v>1</v>
      </c>
      <c r="E110" s="31">
        <f>COUNTIF($C$4:$N$99, "VALU(A)")</f>
        <v>0</v>
      </c>
      <c r="F110" s="31">
        <f>COUNTIF($C$4:$N$99, "VALU(A)/TEOM(B)")</f>
        <v>0</v>
      </c>
      <c r="G110" s="31"/>
      <c r="H110" s="31"/>
      <c r="I110" s="31"/>
      <c r="J110" s="31"/>
      <c r="K110" s="31"/>
      <c r="L110" s="31"/>
      <c r="M110" s="31"/>
      <c r="N110" s="31">
        <f t="shared" si="4"/>
        <v>1</v>
      </c>
    </row>
    <row r="111" spans="1:30" ht="18" customHeight="1" x14ac:dyDescent="0.2">
      <c r="C111" s="30" t="s">
        <v>175</v>
      </c>
      <c r="D111" s="31">
        <f>COUNTIF($C$4:$N$99, "PPC('C)/RURMKT(B)")</f>
        <v>2</v>
      </c>
      <c r="E111" s="31">
        <f>COUNTIF($C$4:$N$99, "VALU(B)")</f>
        <v>0</v>
      </c>
      <c r="F111" s="31">
        <f>COUNTIF($C$4:$N$99, "VALU(B)/TEOM(A)")</f>
        <v>0</v>
      </c>
      <c r="G111" s="31"/>
      <c r="H111" s="31"/>
      <c r="I111" s="31"/>
      <c r="J111" s="31"/>
      <c r="K111" s="31"/>
      <c r="L111" s="31"/>
      <c r="M111" s="31"/>
      <c r="N111" s="31">
        <f t="shared" si="4"/>
        <v>2</v>
      </c>
    </row>
    <row r="112" spans="1:30" ht="18" customHeight="1" x14ac:dyDescent="0.2">
      <c r="C112" s="30" t="s">
        <v>71</v>
      </c>
      <c r="D112" s="31">
        <f>COUNTIF($C$4:$N$99, "M&amp;A('C)/MA")</f>
        <v>3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>
        <f t="shared" si="4"/>
        <v>3</v>
      </c>
    </row>
    <row r="113" spans="3:14" ht="18" customHeight="1" x14ac:dyDescent="0.2">
      <c r="C113" s="30" t="s">
        <v>77</v>
      </c>
      <c r="D113" s="31">
        <f>COUNTIF($C$4:$N$99, "CRM")</f>
        <v>3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>
        <f t="shared" si="4"/>
        <v>3</v>
      </c>
    </row>
    <row r="114" spans="3:14" ht="18" customHeight="1" x14ac:dyDescent="0.2">
      <c r="C114" s="30" t="s">
        <v>152</v>
      </c>
      <c r="D114" s="31">
        <f>COUNTIF($C$4:$N$99, "RURMKT(A)")</f>
        <v>2</v>
      </c>
      <c r="E114" s="31">
        <f>COUNTIF($C$4:$N$99, "D&amp;IT")</f>
        <v>0</v>
      </c>
      <c r="F114" s="31">
        <f>COUNTIF($C$4:$N$99, "ML&amp;AI('C)/D&amp;IT")</f>
        <v>0</v>
      </c>
      <c r="G114" s="31"/>
      <c r="H114" s="31"/>
      <c r="I114" s="31"/>
      <c r="J114" s="31"/>
      <c r="K114" s="31"/>
      <c r="L114" s="31"/>
      <c r="M114" s="31"/>
      <c r="N114" s="31">
        <f t="shared" si="4"/>
        <v>2</v>
      </c>
    </row>
    <row r="115" spans="3:14" ht="18" customHeight="1" x14ac:dyDescent="0.2">
      <c r="C115" s="30" t="s">
        <v>176</v>
      </c>
      <c r="D115" s="31">
        <f>COUNTIF($C$4:$N$99, "PPC('C)/RURMKT(B)")</f>
        <v>2</v>
      </c>
      <c r="E115" s="31">
        <f>COUNTIF($C$4:$N$99, "SBM(A)")</f>
        <v>0</v>
      </c>
      <c r="F115" s="31">
        <f>COUNTIF($C$4:$N$99, "SBM(A)/SBM(B)")</f>
        <v>0</v>
      </c>
      <c r="G115" s="2"/>
      <c r="H115" s="2"/>
      <c r="I115" s="2"/>
      <c r="J115" s="2"/>
      <c r="K115" s="2"/>
      <c r="L115" s="2"/>
      <c r="M115" s="2"/>
      <c r="N115" s="31">
        <f t="shared" si="4"/>
        <v>2</v>
      </c>
    </row>
    <row r="116" spans="3:14" ht="18" customHeight="1" x14ac:dyDescent="0.2">
      <c r="C116" s="10" t="s">
        <v>84</v>
      </c>
      <c r="D116" s="31">
        <f>COUNTIF($C$4:$N$99, "IL(B)/IM")</f>
        <v>3</v>
      </c>
      <c r="E116" s="31">
        <f>COUNTIF($C$4:$N$99, "INB(A)/DADM")</f>
        <v>0</v>
      </c>
      <c r="F116" s="31">
        <f>COUNTIF($C$4:$N$99, "SBM(A)/SBM(B)")</f>
        <v>0</v>
      </c>
      <c r="G116" s="2"/>
      <c r="H116" s="2"/>
      <c r="I116" s="2"/>
      <c r="J116" s="2"/>
      <c r="K116" s="2"/>
      <c r="L116" s="2"/>
      <c r="M116" s="2"/>
      <c r="N116" s="31">
        <f t="shared" si="4"/>
        <v>3</v>
      </c>
    </row>
    <row r="117" spans="3:14" ht="18" customHeight="1" x14ac:dyDescent="0.2">
      <c r="C117" s="10" t="s">
        <v>177</v>
      </c>
      <c r="D117" s="31">
        <f>COUNTIF($C$4:$N$99, "MS(A)/MS('C)")</f>
        <v>4</v>
      </c>
      <c r="E117" s="31">
        <f>COUNTIF($C$4:$N$99, "B2B(A)")</f>
        <v>0</v>
      </c>
      <c r="F117" s="31"/>
      <c r="G117" s="2">
        <f>COUNTIF($C$4:$N$91, "B2B(B)/T&amp;D")</f>
        <v>0</v>
      </c>
      <c r="H117" s="2">
        <f>COUNTIF($C$4:$N$91, "B2B(B)/T&amp;D")</f>
        <v>0</v>
      </c>
      <c r="I117" s="2"/>
      <c r="J117" s="2"/>
      <c r="K117" s="2"/>
      <c r="L117" s="2"/>
      <c r="M117" s="2"/>
      <c r="N117" s="31">
        <f t="shared" si="4"/>
        <v>4</v>
      </c>
    </row>
    <row r="118" spans="3:14" ht="18" customHeight="1" x14ac:dyDescent="0.2">
      <c r="C118" s="10" t="s">
        <v>178</v>
      </c>
      <c r="D118" s="31">
        <f>COUNTIF($C$4:$N$99, "MS(B)/MS(D)/PS&amp;PS")</f>
        <v>4</v>
      </c>
      <c r="E118" s="31">
        <f>COUNTIF($C$4:$N$99, "B2B(B)")</f>
        <v>0</v>
      </c>
      <c r="F118" s="2"/>
      <c r="G118" s="2"/>
      <c r="H118" s="2"/>
      <c r="I118" s="2"/>
      <c r="J118" s="2"/>
      <c r="K118" s="2"/>
      <c r="L118" s="2"/>
      <c r="M118" s="2"/>
      <c r="N118" s="31">
        <f t="shared" si="4"/>
        <v>4</v>
      </c>
    </row>
    <row r="119" spans="3:14" ht="18" customHeight="1" x14ac:dyDescent="0.2">
      <c r="C119" s="10" t="s">
        <v>179</v>
      </c>
      <c r="D119" s="31">
        <f>COUNTIF($C$4:$N$99, "MS(A)/MS('C)")</f>
        <v>4</v>
      </c>
      <c r="E119" s="31">
        <f>COUNTIF($C$4:$N$99, "DRM(D)/SMKT(A)")</f>
        <v>0</v>
      </c>
      <c r="F119" s="31">
        <f>COUNTIF($C$4:$N$99, "LSS(A)/SMKT(A)")</f>
        <v>0</v>
      </c>
      <c r="G119" s="2">
        <f>COUNTIF($C$4:$N$91, "B2B(B)/T&amp;D")</f>
        <v>0</v>
      </c>
      <c r="H119" s="2">
        <f>COUNTIF($C$4:$N$91, "B2B(B)/T&amp;D")</f>
        <v>0</v>
      </c>
      <c r="I119" s="2"/>
      <c r="J119" s="2"/>
      <c r="K119" s="2"/>
      <c r="L119" s="2"/>
      <c r="M119" s="2"/>
      <c r="N119" s="31">
        <f t="shared" si="4"/>
        <v>4</v>
      </c>
    </row>
    <row r="120" spans="3:14" ht="18" customHeight="1" x14ac:dyDescent="0.2">
      <c r="C120" s="10" t="s">
        <v>180</v>
      </c>
      <c r="D120" s="31">
        <f>COUNTIF($C$4:$N$99, "MS(B)/MS(D)/PS&amp;PS")</f>
        <v>4</v>
      </c>
      <c r="E120" s="31">
        <f>COUNTIF($C$4:$N$99, "TEOM(A)/SMKT(B)")</f>
        <v>0</v>
      </c>
      <c r="F120" s="31">
        <f>COUNTIF($C$4:$N$99, "DRM(B)/PDBE(A)/SMKT(B)")</f>
        <v>0</v>
      </c>
      <c r="G120" s="31">
        <f>COUNTIF($C$4:$N$99, "SMKT")</f>
        <v>0</v>
      </c>
      <c r="H120" s="31">
        <f>COUNTIF($C$4:$N$99, "SMKT(B)")</f>
        <v>0</v>
      </c>
      <c r="I120" s="2"/>
      <c r="J120" s="2"/>
      <c r="K120" s="2"/>
      <c r="L120" s="2"/>
      <c r="M120" s="2"/>
      <c r="N120" s="31">
        <f t="shared" si="4"/>
        <v>4</v>
      </c>
    </row>
    <row r="121" spans="3:14" ht="18" customHeight="1" x14ac:dyDescent="0.2">
      <c r="C121" s="10" t="s">
        <v>94</v>
      </c>
      <c r="D121" s="31">
        <f>COUNTIF($C$4:$N$99, "IF(B)/PPC(A)/GBL")</f>
        <v>2</v>
      </c>
      <c r="E121" s="31">
        <f>COUNTIF($C$4:$N$99, "DM(B)/DC(A)")</f>
        <v>0</v>
      </c>
      <c r="F121" s="31">
        <f>COUNTIF($C$4:$N$99, "DM(A)/DM(B)")</f>
        <v>0</v>
      </c>
      <c r="G121" s="2"/>
      <c r="H121" s="2"/>
      <c r="I121" s="2"/>
      <c r="J121" s="2"/>
      <c r="K121" s="2"/>
      <c r="L121" s="2"/>
      <c r="M121" s="2"/>
      <c r="N121" s="31">
        <f t="shared" si="4"/>
        <v>2</v>
      </c>
    </row>
    <row r="122" spans="3:14" ht="18" customHeight="1" x14ac:dyDescent="0.2">
      <c r="C122" s="10" t="s">
        <v>98</v>
      </c>
      <c r="D122" s="31">
        <f>COUNTIF($C$4:$N$99, "IF(A)/PPC(B)/DIW")</f>
        <v>1</v>
      </c>
      <c r="E122" s="31">
        <f>COUNTIF($C$4:$N$99, "DM(A)/DC(B)")</f>
        <v>0</v>
      </c>
      <c r="F122" s="31">
        <f>COUNTIF($C$4:$N$99, "DM(A)/DM(B)")</f>
        <v>0</v>
      </c>
      <c r="G122" s="2"/>
      <c r="H122" s="2"/>
      <c r="I122" s="2"/>
      <c r="J122" s="2"/>
      <c r="K122" s="2"/>
      <c r="L122" s="2"/>
      <c r="M122" s="2"/>
      <c r="N122" s="31">
        <f t="shared" si="4"/>
        <v>1</v>
      </c>
    </row>
    <row r="123" spans="3:14" ht="18" customHeight="1" x14ac:dyDescent="0.2">
      <c r="C123" s="10" t="s">
        <v>102</v>
      </c>
      <c r="D123" s="31">
        <f>COUNTIF($C$4:$N$99, "MS(B)/MS(D)/PS&amp;PS")</f>
        <v>4</v>
      </c>
      <c r="E123" s="31">
        <f>COUNTIF($C$4:$N$99, "PDBE(A)")</f>
        <v>0</v>
      </c>
      <c r="F123" s="31">
        <f>COUNTIF($C$4:$N$99, "DRM(B)/PDBE(A)/SMKT(B)")</f>
        <v>0</v>
      </c>
      <c r="G123" s="2"/>
      <c r="H123" s="2"/>
      <c r="I123" s="2"/>
      <c r="J123" s="2"/>
      <c r="K123" s="2"/>
      <c r="L123" s="2"/>
      <c r="M123" s="2"/>
      <c r="N123" s="31">
        <f t="shared" si="4"/>
        <v>4</v>
      </c>
    </row>
    <row r="124" spans="3:14" ht="18" customHeight="1" x14ac:dyDescent="0.2">
      <c r="C124" s="10" t="s">
        <v>105</v>
      </c>
      <c r="D124" s="31">
        <f>COUNTIF($C$4:$N$99, "MC")</f>
        <v>1</v>
      </c>
      <c r="E124" s="31">
        <f>COUNTIF($C$4:$N$99, "PDBE(B)")</f>
        <v>0</v>
      </c>
      <c r="F124" s="31">
        <f>COUNTIF($C$4:$N$99, "PDBE(B)/ML&amp;AI('C)")</f>
        <v>0</v>
      </c>
      <c r="G124" s="2"/>
      <c r="H124" s="2"/>
      <c r="I124" s="2"/>
      <c r="J124" s="2"/>
      <c r="K124" s="2"/>
      <c r="L124" s="2"/>
      <c r="M124" s="2"/>
      <c r="N124" s="31">
        <f t="shared" si="4"/>
        <v>1</v>
      </c>
    </row>
    <row r="125" spans="3:14" ht="18" customHeight="1" x14ac:dyDescent="0.2">
      <c r="C125" s="10" t="s">
        <v>181</v>
      </c>
      <c r="D125" s="31">
        <f>COUNTIF($C$4:$N$99, "M&amp;A(B)/FT(A)/PRM(B)")</f>
        <v>3</v>
      </c>
      <c r="E125" s="31">
        <f>COUNTIF($C$4:$N$99, "AN")</f>
        <v>0</v>
      </c>
      <c r="F125" s="2"/>
      <c r="G125" s="2"/>
      <c r="H125" s="2"/>
      <c r="I125" s="2"/>
      <c r="J125" s="2"/>
      <c r="K125" s="2"/>
      <c r="L125" s="2"/>
      <c r="M125" s="2"/>
      <c r="N125" s="31">
        <f t="shared" si="4"/>
        <v>3</v>
      </c>
    </row>
    <row r="126" spans="3:14" ht="18" customHeight="1" x14ac:dyDescent="0.2">
      <c r="C126" s="10" t="s">
        <v>182</v>
      </c>
      <c r="D126" s="31">
        <f>COUNTIF($C$4:$N$99, "M&amp;A(A)/FT(B)/PRM(A)")</f>
        <v>3</v>
      </c>
      <c r="E126" s="31">
        <f>COUNTIF($C$4:$N$99, "TEOM(A)/SMKT(B)")</f>
        <v>0</v>
      </c>
      <c r="F126" s="31">
        <f>COUNTIF($C$4:$N$99, "VALU(B)/TEOM(A)")</f>
        <v>0</v>
      </c>
      <c r="G126" s="31"/>
      <c r="H126" s="31">
        <f>COUNTIF($C$4:$N$99, "TEOM(A)")</f>
        <v>0</v>
      </c>
      <c r="I126" s="31"/>
      <c r="J126" s="31"/>
      <c r="K126" s="31"/>
      <c r="L126" s="31"/>
      <c r="M126" s="31"/>
      <c r="N126" s="31">
        <f t="shared" si="4"/>
        <v>3</v>
      </c>
    </row>
    <row r="127" spans="3:14" ht="18" customHeight="1" x14ac:dyDescent="0.2">
      <c r="C127" s="30" t="s">
        <v>113</v>
      </c>
      <c r="D127" s="31">
        <f>COUNTIF($C$4:$N$99, "SNA")</f>
        <v>2</v>
      </c>
      <c r="E127" s="31">
        <f>COUNTIF($C$4:$N$99, "VALU(A)/TEOM(B)")</f>
        <v>0</v>
      </c>
      <c r="F127" s="31">
        <f>COUNTIF($C$4:$N$99, "TEOM(B)/VALU(D)")</f>
        <v>0</v>
      </c>
      <c r="G127" s="31"/>
      <c r="H127" s="31">
        <f>COUNTIF($C$4:$N$99, "TEOM(B)")</f>
        <v>0</v>
      </c>
      <c r="I127" s="31"/>
      <c r="J127" s="31"/>
      <c r="K127" s="31"/>
      <c r="L127" s="31"/>
      <c r="M127" s="31"/>
      <c r="N127" s="31">
        <f t="shared" si="4"/>
        <v>2</v>
      </c>
    </row>
    <row r="128" spans="3:14" ht="18" customHeight="1" x14ac:dyDescent="0.2">
      <c r="C128" s="10" t="s">
        <v>119</v>
      </c>
      <c r="D128" s="31">
        <f>COUNTIF($C$4:$N$99, "IGR&amp;MC")</f>
        <v>3</v>
      </c>
      <c r="E128" s="31">
        <f>COUNTIF($C$4:$N$99, "DV&amp;PS(A)/DV&amp;PS(B)")</f>
        <v>0</v>
      </c>
      <c r="F128" s="31"/>
      <c r="G128" s="2"/>
      <c r="H128" s="2"/>
      <c r="I128" s="2"/>
      <c r="J128" s="2"/>
      <c r="K128" s="2"/>
      <c r="L128" s="2"/>
      <c r="M128" s="2"/>
      <c r="N128" s="31">
        <f t="shared" si="4"/>
        <v>3</v>
      </c>
    </row>
    <row r="129" spans="3:14" ht="18" customHeight="1" x14ac:dyDescent="0.2">
      <c r="C129" s="10" t="s">
        <v>183</v>
      </c>
      <c r="D129" s="31">
        <f>COUNTIF($C$4:$N$99, "M&amp;A(A)/FT(B)/PRM(A)")</f>
        <v>3</v>
      </c>
      <c r="E129" s="31">
        <f>COUNTIF($C$4:$N$99, "DV&amp;VS(B)")</f>
        <v>0</v>
      </c>
      <c r="F129" s="31">
        <f>COUNTIF($C$4:$N$99, "DV&amp;PS(A)/DV&amp;PS(B)")</f>
        <v>0</v>
      </c>
      <c r="G129" s="2"/>
      <c r="H129" s="2"/>
      <c r="I129" s="2"/>
      <c r="J129" s="2"/>
      <c r="K129" s="2"/>
      <c r="L129" s="2"/>
      <c r="M129" s="2"/>
      <c r="N129" s="31">
        <f t="shared" si="4"/>
        <v>3</v>
      </c>
    </row>
    <row r="130" spans="3:14" ht="18" customHeight="1" x14ac:dyDescent="0.2">
      <c r="C130" s="10" t="s">
        <v>184</v>
      </c>
      <c r="D130" s="31">
        <f>COUNTIF($C$4:$N$99, "M&amp;A(B)/FT(A)/PRM(B)")</f>
        <v>3</v>
      </c>
      <c r="E130" s="31">
        <f>COUNTIF($C$4:$N$99, "DM(B)/DC(A)")</f>
        <v>0</v>
      </c>
      <c r="F130" s="31">
        <f>COUNTIF($C$4:$N$99, "SCM(A)/DC(A)")</f>
        <v>0</v>
      </c>
      <c r="G130" s="31">
        <f>COUNTIF($C$4:$N$99, "DC(A)/DC(B)")</f>
        <v>0</v>
      </c>
      <c r="H130" s="2"/>
      <c r="I130" s="2"/>
      <c r="J130" s="2"/>
      <c r="K130" s="2"/>
      <c r="L130" s="2"/>
      <c r="M130" s="2"/>
      <c r="N130" s="31">
        <f t="shared" si="4"/>
        <v>3</v>
      </c>
    </row>
    <row r="131" spans="3:14" ht="18" customHeight="1" x14ac:dyDescent="0.2">
      <c r="C131" s="10" t="s">
        <v>185</v>
      </c>
      <c r="D131" s="31">
        <f>COUNTIF($C$4:$N$99, "IL(A)/D&amp;IT")</f>
        <v>3</v>
      </c>
      <c r="E131" s="31">
        <f>COUNTIF($C$4:$N$99, "DM(A)/DC(B)")</f>
        <v>0</v>
      </c>
      <c r="F131" s="31">
        <f>COUNTIF($C$4:$N$99, "SCM(B)/DC(B)")</f>
        <v>0</v>
      </c>
      <c r="G131" s="31">
        <f>COUNTIF($C$4:$N$99, "DC(A)/DC(B)")</f>
        <v>0</v>
      </c>
      <c r="H131" s="2"/>
      <c r="I131" s="2"/>
      <c r="J131" s="2"/>
      <c r="K131" s="2"/>
      <c r="L131" s="2"/>
      <c r="M131" s="2"/>
      <c r="N131" s="31">
        <f t="shared" si="4"/>
        <v>3</v>
      </c>
    </row>
    <row r="132" spans="3:14" ht="18" customHeight="1" x14ac:dyDescent="0.2">
      <c r="C132" s="10" t="s">
        <v>186</v>
      </c>
      <c r="D132" s="31">
        <f>COUNTIF($C$4:$N$99, "IL(B)/IM")</f>
        <v>3</v>
      </c>
      <c r="E132" s="31">
        <f>COUNTIF($C$4:$N$99, "ML&amp;AI(A)")</f>
        <v>0</v>
      </c>
      <c r="F132" s="31"/>
      <c r="G132" s="2"/>
      <c r="H132" s="2"/>
      <c r="I132" s="2"/>
      <c r="J132" s="2"/>
      <c r="K132" s="2"/>
      <c r="L132" s="2"/>
      <c r="M132" s="2"/>
      <c r="N132" s="31">
        <f t="shared" si="4"/>
        <v>3</v>
      </c>
    </row>
  </sheetData>
  <mergeCells count="27">
    <mergeCell ref="S89:AD89"/>
    <mergeCell ref="S92:AD93"/>
    <mergeCell ref="S95:AD99"/>
    <mergeCell ref="S3:AD3"/>
    <mergeCell ref="S13:AD13"/>
    <mergeCell ref="S25:AD25"/>
    <mergeCell ref="S45:AD45"/>
    <mergeCell ref="S62:AD62"/>
    <mergeCell ref="S79:AD79"/>
    <mergeCell ref="S84:AD84"/>
    <mergeCell ref="S88:AD88"/>
    <mergeCell ref="R1:R2"/>
    <mergeCell ref="Q1:Q2"/>
    <mergeCell ref="C3:N3"/>
    <mergeCell ref="A1:A2"/>
    <mergeCell ref="B1:B2"/>
    <mergeCell ref="C92:N93"/>
    <mergeCell ref="C95:N99"/>
    <mergeCell ref="O1:O2"/>
    <mergeCell ref="C62:N62"/>
    <mergeCell ref="C79:N79"/>
    <mergeCell ref="C84:N84"/>
    <mergeCell ref="C13:N13"/>
    <mergeCell ref="C25:N25"/>
    <mergeCell ref="C45:N45"/>
    <mergeCell ref="C89:N89"/>
    <mergeCell ref="C88:N88"/>
  </mergeCells>
  <conditionalFormatting sqref="C3">
    <cfRule type="cellIs" dxfId="53" priority="558" stopIfTrue="1" operator="equal">
      <formula>"French-1"</formula>
    </cfRule>
  </conditionalFormatting>
  <conditionalFormatting sqref="C32:N39 C18:N24 C42:N63">
    <cfRule type="containsText" dxfId="52" priority="59" operator="containsText" text="DRM(B)">
      <formula>NOT(ISERROR(SEARCH("DRM(B)",C18)))</formula>
    </cfRule>
  </conditionalFormatting>
  <conditionalFormatting sqref="C40:N40">
    <cfRule type="containsText" dxfId="51" priority="58" operator="containsText" text="DRM(B)">
      <formula>NOT(ISERROR(SEARCH("DRM(B)",C40)))</formula>
    </cfRule>
  </conditionalFormatting>
  <conditionalFormatting sqref="C64:N64">
    <cfRule type="containsText" dxfId="50" priority="57" operator="containsText" text="DRM(B)">
      <formula>NOT(ISERROR(SEARCH("DRM(B)",C64)))</formula>
    </cfRule>
  </conditionalFormatting>
  <conditionalFormatting sqref="C82:N82">
    <cfRule type="containsText" dxfId="49" priority="48" operator="containsText" text="DRM(B)">
      <formula>NOT(ISERROR(SEARCH("DRM(B)",C82)))</formula>
    </cfRule>
  </conditionalFormatting>
  <conditionalFormatting sqref="C66:N66">
    <cfRule type="containsText" dxfId="48" priority="55" operator="containsText" text="DRM(B)">
      <formula>NOT(ISERROR(SEARCH("DRM(B)",C66)))</formula>
    </cfRule>
  </conditionalFormatting>
  <conditionalFormatting sqref="C67:N70">
    <cfRule type="containsText" dxfId="47" priority="54" operator="containsText" text="DRM(B)">
      <formula>NOT(ISERROR(SEARCH("DRM(B)",C67)))</formula>
    </cfRule>
  </conditionalFormatting>
  <conditionalFormatting sqref="C71:N71">
    <cfRule type="containsText" dxfId="46" priority="53" operator="containsText" text="DRM(B)">
      <formula>NOT(ISERROR(SEARCH("DRM(B)",C71)))</formula>
    </cfRule>
  </conditionalFormatting>
  <conditionalFormatting sqref="C73:N73">
    <cfRule type="containsText" dxfId="45" priority="51" operator="containsText" text="DRM(B)">
      <formula>NOT(ISERROR(SEARCH("DRM(B)",C73)))</formula>
    </cfRule>
  </conditionalFormatting>
  <conditionalFormatting sqref="C74:N78 C80:N80">
    <cfRule type="containsText" dxfId="44" priority="50" operator="containsText" text="DRM(B)">
      <formula>NOT(ISERROR(SEARCH("DRM(B)",C74)))</formula>
    </cfRule>
  </conditionalFormatting>
  <conditionalFormatting sqref="C81:N81">
    <cfRule type="containsText" dxfId="43" priority="49" operator="containsText" text="DRM(B)">
      <formula>NOT(ISERROR(SEARCH("DRM(B)",C81)))</formula>
    </cfRule>
  </conditionalFormatting>
  <conditionalFormatting sqref="C83:N83">
    <cfRule type="containsText" dxfId="42" priority="47" operator="containsText" text="DRM(B)">
      <formula>NOT(ISERROR(SEARCH("DRM(B)",C83)))</formula>
    </cfRule>
  </conditionalFormatting>
  <conditionalFormatting sqref="C87:N87">
    <cfRule type="containsText" dxfId="41" priority="43" operator="containsText" text="DRM(B)">
      <formula>NOT(ISERROR(SEARCH("DRM(B)",C87)))</formula>
    </cfRule>
  </conditionalFormatting>
  <conditionalFormatting sqref="C85:N85">
    <cfRule type="containsText" dxfId="40" priority="45" operator="containsText" text="DRM(B)">
      <formula>NOT(ISERROR(SEARCH("DRM(B)",C85)))</formula>
    </cfRule>
  </conditionalFormatting>
  <conditionalFormatting sqref="C31:N31">
    <cfRule type="containsText" dxfId="39" priority="39" operator="containsText" text="DRM(B)">
      <formula>NOT(ISERROR(SEARCH("DRM(B)",C31)))</formula>
    </cfRule>
  </conditionalFormatting>
  <conditionalFormatting sqref="C13:N13">
    <cfRule type="containsText" dxfId="38" priority="41" operator="containsText" text="DRM(B)">
      <formula>NOT(ISERROR(SEARCH("DRM(B)",C13)))</formula>
    </cfRule>
  </conditionalFormatting>
  <conditionalFormatting sqref="C26:N30">
    <cfRule type="containsText" dxfId="37" priority="40" operator="containsText" text="DRM(B)">
      <formula>NOT(ISERROR(SEARCH("DRM(B)",C26)))</formula>
    </cfRule>
  </conditionalFormatting>
  <conditionalFormatting sqref="C25:N25">
    <cfRule type="containsText" dxfId="36" priority="38" operator="containsText" text="DRM(B)">
      <formula>NOT(ISERROR(SEARCH("DRM(B)",C25)))</formula>
    </cfRule>
  </conditionalFormatting>
  <conditionalFormatting sqref="C41:N41">
    <cfRule type="containsText" dxfId="35" priority="37" operator="containsText" text="DRM(B)">
      <formula>NOT(ISERROR(SEARCH("DRM(B)",C41)))</formula>
    </cfRule>
  </conditionalFormatting>
  <conditionalFormatting sqref="C94:N94">
    <cfRule type="containsText" dxfId="34" priority="29" operator="containsText" text="DRM(B)">
      <formula>NOT(ISERROR(SEARCH("DRM(B)",C94)))</formula>
    </cfRule>
  </conditionalFormatting>
  <conditionalFormatting sqref="C65:N65">
    <cfRule type="containsText" dxfId="33" priority="35" operator="containsText" text="DRM(B)">
      <formula>NOT(ISERROR(SEARCH("DRM(B)",C65)))</formula>
    </cfRule>
  </conditionalFormatting>
  <conditionalFormatting sqref="C72:N72">
    <cfRule type="containsText" dxfId="32" priority="34" operator="containsText" text="DRM(B)">
      <formula>NOT(ISERROR(SEARCH("DRM(B)",C72)))</formula>
    </cfRule>
  </conditionalFormatting>
  <conditionalFormatting sqref="C86:N86">
    <cfRule type="containsText" dxfId="31" priority="33" operator="containsText" text="DRM(B)">
      <formula>NOT(ISERROR(SEARCH("DRM(B)",C86)))</formula>
    </cfRule>
  </conditionalFormatting>
  <conditionalFormatting sqref="C79:N79">
    <cfRule type="containsText" dxfId="30" priority="32" operator="containsText" text="DRM(B)">
      <formula>NOT(ISERROR(SEARCH("DRM(B)",C79)))</formula>
    </cfRule>
  </conditionalFormatting>
  <conditionalFormatting sqref="C84:N84">
    <cfRule type="containsText" dxfId="29" priority="31" operator="containsText" text="DRM(B)">
      <formula>NOT(ISERROR(SEARCH("DRM(B)",C84)))</formula>
    </cfRule>
  </conditionalFormatting>
  <conditionalFormatting sqref="C89:N89">
    <cfRule type="containsText" dxfId="28" priority="30" operator="containsText" text="DRM(B)">
      <formula>NOT(ISERROR(SEARCH("DRM(B)",C89)))</formula>
    </cfRule>
  </conditionalFormatting>
  <conditionalFormatting sqref="C9:G9">
    <cfRule type="containsText" dxfId="27" priority="28" operator="containsText" text="DRM(B)">
      <formula>NOT(ISERROR(SEARCH("DRM(B)",C9)))</formula>
    </cfRule>
  </conditionalFormatting>
  <conditionalFormatting sqref="S3">
    <cfRule type="cellIs" dxfId="26" priority="27" stopIfTrue="1" operator="equal">
      <formula>"French-1"</formula>
    </cfRule>
  </conditionalFormatting>
  <conditionalFormatting sqref="S32:AD39 S18:AD24 S42:AD63">
    <cfRule type="containsText" dxfId="25" priority="26" operator="containsText" text="DRM(B)">
      <formula>NOT(ISERROR(SEARCH("DRM(B)",S18)))</formula>
    </cfRule>
  </conditionalFormatting>
  <conditionalFormatting sqref="S40:AD40">
    <cfRule type="containsText" dxfId="24" priority="25" operator="containsText" text="DRM(B)">
      <formula>NOT(ISERROR(SEARCH("DRM(B)",S40)))</formula>
    </cfRule>
  </conditionalFormatting>
  <conditionalFormatting sqref="S64:AD64">
    <cfRule type="containsText" dxfId="23" priority="24" operator="containsText" text="DRM(B)">
      <formula>NOT(ISERROR(SEARCH("DRM(B)",S64)))</formula>
    </cfRule>
  </conditionalFormatting>
  <conditionalFormatting sqref="S82:AD82">
    <cfRule type="containsText" dxfId="22" priority="17" operator="containsText" text="DRM(B)">
      <formula>NOT(ISERROR(SEARCH("DRM(B)",S82)))</formula>
    </cfRule>
  </conditionalFormatting>
  <conditionalFormatting sqref="S66:AD66">
    <cfRule type="containsText" dxfId="21" priority="23" operator="containsText" text="DRM(B)">
      <formula>NOT(ISERROR(SEARCH("DRM(B)",S66)))</formula>
    </cfRule>
  </conditionalFormatting>
  <conditionalFormatting sqref="S67:AD70">
    <cfRule type="containsText" dxfId="20" priority="22" operator="containsText" text="DRM(B)">
      <formula>NOT(ISERROR(SEARCH("DRM(B)",S67)))</formula>
    </cfRule>
  </conditionalFormatting>
  <conditionalFormatting sqref="S71:AD71">
    <cfRule type="containsText" dxfId="19" priority="21" operator="containsText" text="DRM(B)">
      <formula>NOT(ISERROR(SEARCH("DRM(B)",S71)))</formula>
    </cfRule>
  </conditionalFormatting>
  <conditionalFormatting sqref="S73:AD73">
    <cfRule type="containsText" dxfId="18" priority="20" operator="containsText" text="DRM(B)">
      <formula>NOT(ISERROR(SEARCH("DRM(B)",S73)))</formula>
    </cfRule>
  </conditionalFormatting>
  <conditionalFormatting sqref="S74:AD78 S80:AD80">
    <cfRule type="containsText" dxfId="17" priority="19" operator="containsText" text="DRM(B)">
      <formula>NOT(ISERROR(SEARCH("DRM(B)",S74)))</formula>
    </cfRule>
  </conditionalFormatting>
  <conditionalFormatting sqref="S81:AD81">
    <cfRule type="containsText" dxfId="16" priority="18" operator="containsText" text="DRM(B)">
      <formula>NOT(ISERROR(SEARCH("DRM(B)",S81)))</formula>
    </cfRule>
  </conditionalFormatting>
  <conditionalFormatting sqref="S83:AD83">
    <cfRule type="containsText" dxfId="15" priority="16" operator="containsText" text="DRM(B)">
      <formula>NOT(ISERROR(SEARCH("DRM(B)",S83)))</formula>
    </cfRule>
  </conditionalFormatting>
  <conditionalFormatting sqref="S87:AD87">
    <cfRule type="containsText" dxfId="14" priority="14" operator="containsText" text="DRM(B)">
      <formula>NOT(ISERROR(SEARCH("DRM(B)",S87)))</formula>
    </cfRule>
  </conditionalFormatting>
  <conditionalFormatting sqref="S85:AD85">
    <cfRule type="containsText" dxfId="13" priority="15" operator="containsText" text="DRM(B)">
      <formula>NOT(ISERROR(SEARCH("DRM(B)",S85)))</formula>
    </cfRule>
  </conditionalFormatting>
  <conditionalFormatting sqref="S31:AD31">
    <cfRule type="containsText" dxfId="12" priority="11" operator="containsText" text="DRM(B)">
      <formula>NOT(ISERROR(SEARCH("DRM(B)",S31)))</formula>
    </cfRule>
  </conditionalFormatting>
  <conditionalFormatting sqref="S13:AD13">
    <cfRule type="containsText" dxfId="11" priority="13" operator="containsText" text="DRM(B)">
      <formula>NOT(ISERROR(SEARCH("DRM(B)",S13)))</formula>
    </cfRule>
  </conditionalFormatting>
  <conditionalFormatting sqref="S26:AD30">
    <cfRule type="containsText" dxfId="10" priority="12" operator="containsText" text="DRM(B)">
      <formula>NOT(ISERROR(SEARCH("DRM(B)",S26)))</formula>
    </cfRule>
  </conditionalFormatting>
  <conditionalFormatting sqref="S25:AD25">
    <cfRule type="containsText" dxfId="9" priority="10" operator="containsText" text="DRM(B)">
      <formula>NOT(ISERROR(SEARCH("DRM(B)",S25)))</formula>
    </cfRule>
  </conditionalFormatting>
  <conditionalFormatting sqref="S41:AD41">
    <cfRule type="containsText" dxfId="8" priority="9" operator="containsText" text="DRM(B)">
      <formula>NOT(ISERROR(SEARCH("DRM(B)",S41)))</formula>
    </cfRule>
  </conditionalFormatting>
  <conditionalFormatting sqref="S94:AD94">
    <cfRule type="containsText" dxfId="7" priority="2" operator="containsText" text="DRM(B)">
      <formula>NOT(ISERROR(SEARCH("DRM(B)",S94)))</formula>
    </cfRule>
  </conditionalFormatting>
  <conditionalFormatting sqref="S65:AD65">
    <cfRule type="containsText" dxfId="6" priority="8" operator="containsText" text="DRM(B)">
      <formula>NOT(ISERROR(SEARCH("DRM(B)",S65)))</formula>
    </cfRule>
  </conditionalFormatting>
  <conditionalFormatting sqref="S72:AD72">
    <cfRule type="containsText" dxfId="5" priority="7" operator="containsText" text="DRM(B)">
      <formula>NOT(ISERROR(SEARCH("DRM(B)",S72)))</formula>
    </cfRule>
  </conditionalFormatting>
  <conditionalFormatting sqref="S86:AD86">
    <cfRule type="containsText" dxfId="4" priority="6" operator="containsText" text="DRM(B)">
      <formula>NOT(ISERROR(SEARCH("DRM(B)",S86)))</formula>
    </cfRule>
  </conditionalFormatting>
  <conditionalFormatting sqref="S79:AD79">
    <cfRule type="containsText" dxfId="3" priority="5" operator="containsText" text="DRM(B)">
      <formula>NOT(ISERROR(SEARCH("DRM(B)",S79)))</formula>
    </cfRule>
  </conditionalFormatting>
  <conditionalFormatting sqref="S84:AD84">
    <cfRule type="containsText" dxfId="2" priority="4" operator="containsText" text="DRM(B)">
      <formula>NOT(ISERROR(SEARCH("DRM(B)",S84)))</formula>
    </cfRule>
  </conditionalFormatting>
  <conditionalFormatting sqref="S89:AD89">
    <cfRule type="containsText" dxfId="1" priority="3" operator="containsText" text="DRM(B)">
      <formula>NOT(ISERROR(SEARCH("DRM(B)",S89)))</formula>
    </cfRule>
  </conditionalFormatting>
  <conditionalFormatting sqref="S9:W9">
    <cfRule type="containsText" dxfId="0" priority="1" operator="containsText" text="DRM(B)">
      <formula>NOT(ISERROR(SEARCH("DRM(B)",S9)))</formula>
    </cfRule>
  </conditionalFormatting>
  <pageMargins left="0.23622047244094491" right="0.19685039370078741" top="1.1023622047244095" bottom="0.27559055118110237" header="0.27559055118110237" footer="0.19685039370078741"/>
  <pageSetup paperSize="9" scale="34" orientation="portrait" r:id="rId1"/>
  <headerFooter alignWithMargins="0">
    <oddHeader>&amp;C&amp;"times,Bold"&amp;17Institute of Management, Nirma University
Master of Business Administration
Batch: 2024 - 2026 (Term - VI)
Daily Class Schedule</oddHeader>
  </headerFooter>
  <rowBreaks count="2" manualBreakCount="2">
    <brk id="56" max="13" man="1"/>
    <brk id="132" max="14" man="1"/>
  </rowBreaks>
  <colBreaks count="1" manualBreakCount="1">
    <brk id="14" max="143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Course Detail-Term-VI</vt:lpstr>
      <vt:lpstr>Class Schedule-Term-VI </vt:lpstr>
      <vt:lpstr>'Class Schedule-Term-VI '!Print_Area</vt:lpstr>
      <vt:lpstr>'Course Detail-Term-VI'!Print_Area</vt:lpstr>
      <vt:lpstr>'Class Schedule-Term-VI '!Print_Titles</vt:lpstr>
    </vt:vector>
  </TitlesOfParts>
  <Company>nim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main</dc:creator>
  <cp:lastModifiedBy>Administrator</cp:lastModifiedBy>
  <cp:lastPrinted>2026-01-02T06:32:53Z</cp:lastPrinted>
  <dcterms:created xsi:type="dcterms:W3CDTF">2007-05-07T07:18:13Z</dcterms:created>
  <dcterms:modified xsi:type="dcterms:W3CDTF">2026-01-03T06:14:10Z</dcterms:modified>
</cp:coreProperties>
</file>